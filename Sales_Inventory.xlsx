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tock Inventory" sheetId="2" state="visible" r:id="rId2"/>
    <sheet name="RTO Tracker" sheetId="3" state="visible" r:id="rId3"/>
    <sheet name="Customer Returns" sheetId="4" state="visible" r:id="rId4"/>
    <sheet name="Exchanges" sheetId="5" state="visible" r:id="rId5"/>
    <sheet name="Ad Spend" sheetId="6" state="visible" r:id="rId6"/>
    <sheet name="Bank Transactions" sheetId="7" state="visible" r:id="rId7"/>
    <sheet name="Daily Sales Summary" sheetId="8" state="visible" r:id="rId8"/>
    <sheet name="Daily Ad Spend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2" fillId="3" borderId="2" pivotButton="0" quotePrefix="0" xfId="0"/>
    <xf numFmtId="3" fontId="2" fillId="3" borderId="2" pivotButton="0" quotePrefix="0" xfId="0"/>
    <xf numFmtId="164" fontId="2" fillId="3" borderId="2" pivotButton="0" quotePrefix="0" xfId="0"/>
    <xf numFmtId="10" fontId="2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7" customWidth="1" min="4" max="4"/>
    <col width="21" customWidth="1" min="5" max="5"/>
    <col width="21" customWidth="1" min="6" max="6"/>
    <col width="26" customWidth="1" min="7" max="7"/>
    <col width="16" customWidth="1" min="8" max="8"/>
    <col width="26" customWidth="1" min="9" max="9"/>
    <col width="19" customWidth="1" min="10" max="10"/>
  </cols>
  <sheetData>
    <row r="1">
      <c r="A1" s="1" t="inlineStr">
        <is>
          <t>Sl No.</t>
        </is>
      </c>
      <c r="B1" s="1" t="inlineStr">
        <is>
          <t>Date</t>
        </is>
      </c>
      <c r="C1" s="1" t="inlineStr">
        <is>
          <t>Style No.</t>
        </is>
      </c>
      <c r="D1" s="1" t="inlineStr">
        <is>
          <t>Quantity Sold</t>
        </is>
      </c>
      <c r="E1" s="1" t="inlineStr">
        <is>
          <t>Selling Price ($)</t>
        </is>
      </c>
      <c r="F1" s="1" t="inlineStr">
        <is>
          <t>Total Revenue ($)</t>
        </is>
      </c>
      <c r="G1" s="1" t="inlineStr">
        <is>
          <t>Cost of Goods Sold ($)</t>
        </is>
      </c>
      <c r="H1" s="1" t="inlineStr">
        <is>
          <t>Profit ($)</t>
        </is>
      </c>
      <c r="I1" s="1" t="inlineStr">
        <is>
          <t>Profit Margin (%)</t>
        </is>
      </c>
      <c r="J1" s="1" t="inlineStr">
        <is>
          <t>Reference</t>
        </is>
      </c>
    </row>
    <row r="2">
      <c r="A2" s="2" t="n">
        <v>1</v>
      </c>
      <c r="B2" s="2" t="inlineStr">
        <is>
          <t>2026-08-21</t>
        </is>
      </c>
      <c r="C2" s="2" t="inlineStr">
        <is>
          <t>DE26003W</t>
        </is>
      </c>
      <c r="D2" s="3" t="n">
        <v>2</v>
      </c>
      <c r="E2" s="4" t="n">
        <v>335.85</v>
      </c>
      <c r="F2" s="4">
        <f>D2*E2</f>
        <v/>
      </c>
      <c r="G2" s="4" t="n">
        <v>438</v>
      </c>
      <c r="H2" s="4">
        <f>F2-G2</f>
        <v/>
      </c>
      <c r="I2" s="5">
        <f>IF(F2&gt;0, H2/F2, 0)</f>
        <v/>
      </c>
      <c r="J2" s="2" t="inlineStr">
        <is>
          <t>Sale</t>
        </is>
      </c>
    </row>
    <row r="3">
      <c r="A3" s="2" t="n">
        <v>2</v>
      </c>
      <c r="B3" s="2" t="inlineStr">
        <is>
          <t>2026-08-24</t>
        </is>
      </c>
      <c r="C3" s="2" t="inlineStr">
        <is>
          <t>DE26001G</t>
        </is>
      </c>
      <c r="D3" s="3" t="n">
        <v>2</v>
      </c>
      <c r="E3" s="4" t="n">
        <v>290.285</v>
      </c>
      <c r="F3" s="4">
        <f>D3*E3</f>
        <v/>
      </c>
      <c r="G3" s="4" t="n">
        <v>438</v>
      </c>
      <c r="H3" s="4">
        <f>F3-G3</f>
        <v/>
      </c>
      <c r="I3" s="5">
        <f>IF(F3&gt;0, H3/F3, 0)</f>
        <v/>
      </c>
      <c r="J3" s="2" t="inlineStr">
        <is>
          <t>Sale</t>
        </is>
      </c>
    </row>
    <row r="4">
      <c r="A4" s="2" t="n">
        <v>3</v>
      </c>
      <c r="B4" s="2" t="inlineStr">
        <is>
          <t>2026-08-24</t>
        </is>
      </c>
      <c r="C4" s="2" t="inlineStr">
        <is>
          <t>DE26001Y</t>
        </is>
      </c>
      <c r="D4" s="3" t="n">
        <v>1</v>
      </c>
      <c r="E4" s="4" t="n">
        <v>298.73</v>
      </c>
      <c r="F4" s="4">
        <f>D4*E4</f>
        <v/>
      </c>
      <c r="G4" s="4" t="n">
        <v>219</v>
      </c>
      <c r="H4" s="4">
        <f>F4-G4</f>
        <v/>
      </c>
      <c r="I4" s="5">
        <f>IF(F4&gt;0, H4/F4, 0)</f>
        <v/>
      </c>
      <c r="J4" s="2" t="inlineStr">
        <is>
          <t>Sale</t>
        </is>
      </c>
    </row>
    <row r="5">
      <c r="A5" s="2" t="n">
        <v>4</v>
      </c>
      <c r="B5" s="2" t="inlineStr">
        <is>
          <t>2026-08-24</t>
        </is>
      </c>
      <c r="C5" s="2" t="inlineStr">
        <is>
          <t>DE26003B</t>
        </is>
      </c>
      <c r="D5" s="3" t="n">
        <v>2</v>
      </c>
      <c r="E5" s="4" t="n">
        <v>317.515</v>
      </c>
      <c r="F5" s="4">
        <f>D5*E5</f>
        <v/>
      </c>
      <c r="G5" s="4" t="n">
        <v>438</v>
      </c>
      <c r="H5" s="4">
        <f>F5-G5</f>
        <v/>
      </c>
      <c r="I5" s="5">
        <f>IF(F5&gt;0, H5/F5, 0)</f>
        <v/>
      </c>
      <c r="J5" s="2" t="inlineStr">
        <is>
          <t>Sale</t>
        </is>
      </c>
    </row>
    <row r="6">
      <c r="A6" s="2" t="n">
        <v>5</v>
      </c>
      <c r="B6" s="2" t="inlineStr">
        <is>
          <t>2026-08-24</t>
        </is>
      </c>
      <c r="C6" s="2" t="inlineStr">
        <is>
          <t>DE26003W</t>
        </is>
      </c>
      <c r="D6" s="3" t="n">
        <v>5</v>
      </c>
      <c r="E6" s="4" t="n">
        <v>303.026</v>
      </c>
      <c r="F6" s="4">
        <f>D6*E6</f>
        <v/>
      </c>
      <c r="G6" s="4" t="n">
        <v>1095</v>
      </c>
      <c r="H6" s="4">
        <f>F6-G6</f>
        <v/>
      </c>
      <c r="I6" s="5">
        <f>IF(F6&gt;0, H6/F6, 0)</f>
        <v/>
      </c>
      <c r="J6" s="2" t="inlineStr">
        <is>
          <t>Sale</t>
        </is>
      </c>
    </row>
    <row r="7">
      <c r="A7" s="2" t="n">
        <v>6</v>
      </c>
      <c r="B7" s="2" t="inlineStr">
        <is>
          <t>2026-08-24</t>
        </is>
      </c>
      <c r="C7" s="2" t="inlineStr">
        <is>
          <t>DE26004R</t>
        </is>
      </c>
      <c r="D7" s="3" t="n">
        <v>1</v>
      </c>
      <c r="E7" s="4" t="n">
        <v>299.68</v>
      </c>
      <c r="F7" s="4">
        <f>D7*E7</f>
        <v/>
      </c>
      <c r="G7" s="4" t="n">
        <v>219</v>
      </c>
      <c r="H7" s="4">
        <f>F7-G7</f>
        <v/>
      </c>
      <c r="I7" s="5">
        <f>IF(F7&gt;0, H7/F7, 0)</f>
        <v/>
      </c>
      <c r="J7" s="2" t="inlineStr">
        <is>
          <t>Sale</t>
        </is>
      </c>
    </row>
    <row r="8">
      <c r="A8" s="2" t="n">
        <v>7</v>
      </c>
      <c r="B8" s="2" t="inlineStr">
        <is>
          <t>2026-08-24</t>
        </is>
      </c>
      <c r="C8" s="2" t="inlineStr">
        <is>
          <t>DE26030B</t>
        </is>
      </c>
      <c r="D8" s="3" t="n">
        <v>1</v>
      </c>
      <c r="E8" s="4" t="n">
        <v>280.9</v>
      </c>
      <c r="F8" s="4">
        <f>D8*E8</f>
        <v/>
      </c>
      <c r="G8" s="4" t="n">
        <v>205</v>
      </c>
      <c r="H8" s="4">
        <f>F8-G8</f>
        <v/>
      </c>
      <c r="I8" s="5">
        <f>IF(F8&gt;0, H8/F8, 0)</f>
        <v/>
      </c>
      <c r="J8" s="2" t="inlineStr">
        <is>
          <t>Sale</t>
        </is>
      </c>
    </row>
    <row r="9">
      <c r="A9" s="2" t="n">
        <v>8</v>
      </c>
      <c r="B9" s="2" t="inlineStr">
        <is>
          <t>2026-08-25</t>
        </is>
      </c>
      <c r="C9" s="2" t="inlineStr">
        <is>
          <t>DE26003W</t>
        </is>
      </c>
      <c r="D9" s="3" t="n">
        <v>3</v>
      </c>
      <c r="E9" s="4" t="n">
        <v>298.79</v>
      </c>
      <c r="F9" s="4">
        <f>D9*E9</f>
        <v/>
      </c>
      <c r="G9" s="4" t="n">
        <v>657</v>
      </c>
      <c r="H9" s="4">
        <f>F9-G9</f>
        <v/>
      </c>
      <c r="I9" s="5">
        <f>IF(F9&gt;0, H9/F9, 0)</f>
        <v/>
      </c>
      <c r="J9" s="2" t="inlineStr">
        <is>
          <t>Sale</t>
        </is>
      </c>
    </row>
    <row r="10">
      <c r="A10" s="2" t="n">
        <v>9</v>
      </c>
      <c r="B10" s="2" t="inlineStr">
        <is>
          <t>2026-08-26</t>
        </is>
      </c>
      <c r="C10" s="2" t="inlineStr">
        <is>
          <t>DE26030B</t>
        </is>
      </c>
      <c r="D10" s="3" t="n">
        <v>1</v>
      </c>
      <c r="E10" s="4" t="n">
        <v>315.37</v>
      </c>
      <c r="F10" s="4">
        <f>D10*E10</f>
        <v/>
      </c>
      <c r="G10" s="4" t="n">
        <v>205</v>
      </c>
      <c r="H10" s="4">
        <f>F10-G10</f>
        <v/>
      </c>
      <c r="I10" s="5">
        <f>IF(F10&gt;0, H10/F10, 0)</f>
        <v/>
      </c>
      <c r="J10" s="2" t="inlineStr">
        <is>
          <t>Sale</t>
        </is>
      </c>
    </row>
    <row r="11">
      <c r="A11" s="2" t="n">
        <v>10</v>
      </c>
      <c r="B11" s="2" t="inlineStr">
        <is>
          <t>2026-08-27</t>
        </is>
      </c>
      <c r="C11" s="2" t="inlineStr">
        <is>
          <t>DE26003B</t>
        </is>
      </c>
      <c r="D11" s="3" t="n">
        <v>1</v>
      </c>
      <c r="E11" s="4" t="n">
        <v>318.7</v>
      </c>
      <c r="F11" s="4">
        <f>D11*E11</f>
        <v/>
      </c>
      <c r="G11" s="4" t="n">
        <v>219</v>
      </c>
      <c r="H11" s="4">
        <f>F11-G11</f>
        <v/>
      </c>
      <c r="I11" s="5">
        <f>IF(F11&gt;0, H11/F11, 0)</f>
        <v/>
      </c>
      <c r="J11" s="2" t="inlineStr">
        <is>
          <t>Sale</t>
        </is>
      </c>
    </row>
    <row r="12">
      <c r="A12" s="2" t="n">
        <v>11</v>
      </c>
      <c r="B12" s="2" t="inlineStr">
        <is>
          <t>2026-08-27</t>
        </is>
      </c>
      <c r="C12" s="2" t="inlineStr">
        <is>
          <t>DE26003W</t>
        </is>
      </c>
      <c r="D12" s="3" t="n">
        <v>1</v>
      </c>
      <c r="E12" s="4" t="n">
        <v>316.6</v>
      </c>
      <c r="F12" s="4">
        <f>D12*E12</f>
        <v/>
      </c>
      <c r="G12" s="4" t="n">
        <v>219</v>
      </c>
      <c r="H12" s="4">
        <f>F12-G12</f>
        <v/>
      </c>
      <c r="I12" s="5">
        <f>IF(F12&gt;0, H12/F12, 0)</f>
        <v/>
      </c>
      <c r="J12" s="2" t="inlineStr">
        <is>
          <t>Sale</t>
        </is>
      </c>
    </row>
    <row r="13">
      <c r="A13" s="2" t="n">
        <v>12</v>
      </c>
      <c r="B13" s="2" t="inlineStr">
        <is>
          <t>2026-08-27</t>
        </is>
      </c>
      <c r="C13" s="2" t="inlineStr">
        <is>
          <t>DE26004R</t>
        </is>
      </c>
      <c r="D13" s="3" t="n">
        <v>1</v>
      </c>
      <c r="E13" s="4" t="n">
        <v>305.52</v>
      </c>
      <c r="F13" s="4">
        <f>D13*E13</f>
        <v/>
      </c>
      <c r="G13" s="4" t="n">
        <v>219</v>
      </c>
      <c r="H13" s="4">
        <f>F13-G13</f>
        <v/>
      </c>
      <c r="I13" s="5">
        <f>IF(F13&gt;0, H13/F13, 0)</f>
        <v/>
      </c>
      <c r="J13" s="2" t="inlineStr">
        <is>
          <t>Sale</t>
        </is>
      </c>
    </row>
    <row r="14">
      <c r="A14" s="2" t="n">
        <v>13</v>
      </c>
      <c r="B14" s="2" t="inlineStr">
        <is>
          <t>2026-08-27</t>
        </is>
      </c>
      <c r="C14" s="2" t="inlineStr">
        <is>
          <t>DE26004Y</t>
        </is>
      </c>
      <c r="D14" s="3" t="n">
        <v>1</v>
      </c>
      <c r="E14" s="4" t="n">
        <v>306.27</v>
      </c>
      <c r="F14" s="4">
        <f>D14*E14</f>
        <v/>
      </c>
      <c r="G14" s="4" t="n">
        <v>219</v>
      </c>
      <c r="H14" s="4">
        <f>F14-G14</f>
        <v/>
      </c>
      <c r="I14" s="5">
        <f>IF(F14&gt;0, H14/F14, 0)</f>
        <v/>
      </c>
      <c r="J14" s="2" t="inlineStr">
        <is>
          <t>Sale</t>
        </is>
      </c>
    </row>
    <row r="15">
      <c r="A15" s="2" t="n">
        <v>14</v>
      </c>
      <c r="B15" s="2" t="inlineStr">
        <is>
          <t>2026-08-28</t>
        </is>
      </c>
      <c r="C15" s="2" t="inlineStr">
        <is>
          <t>DE26003B</t>
        </is>
      </c>
      <c r="D15" s="3" t="n">
        <v>1</v>
      </c>
      <c r="E15" s="4" t="n">
        <v>319.77</v>
      </c>
      <c r="F15" s="4">
        <f>D15*E15</f>
        <v/>
      </c>
      <c r="G15" s="4" t="n">
        <v>219</v>
      </c>
      <c r="H15" s="4">
        <f>F15-G15</f>
        <v/>
      </c>
      <c r="I15" s="5">
        <f>IF(F15&gt;0, H15/F15, 0)</f>
        <v/>
      </c>
      <c r="J15" s="2" t="inlineStr">
        <is>
          <t>Sale</t>
        </is>
      </c>
    </row>
    <row r="16">
      <c r="A16" s="2" t="n">
        <v>15</v>
      </c>
      <c r="B16" s="2" t="inlineStr">
        <is>
          <t>2026-08-28</t>
        </is>
      </c>
      <c r="C16" s="2" t="inlineStr">
        <is>
          <t>DE26003W</t>
        </is>
      </c>
      <c r="D16" s="3" t="n">
        <v>3</v>
      </c>
      <c r="E16" s="4" t="n">
        <v>318.4667</v>
      </c>
      <c r="F16" s="4">
        <f>D16*E16</f>
        <v/>
      </c>
      <c r="G16" s="4" t="n">
        <v>657</v>
      </c>
      <c r="H16" s="4">
        <f>F16-G16</f>
        <v/>
      </c>
      <c r="I16" s="5">
        <f>IF(F16&gt;0, H16/F16, 0)</f>
        <v/>
      </c>
      <c r="J16" s="2" t="inlineStr">
        <is>
          <t>Sale</t>
        </is>
      </c>
    </row>
    <row r="17">
      <c r="A17" s="2" t="n">
        <v>16</v>
      </c>
      <c r="B17" s="2" t="inlineStr">
        <is>
          <t>2026-08-28</t>
        </is>
      </c>
      <c r="C17" s="2" t="inlineStr">
        <is>
          <t>DE26030R</t>
        </is>
      </c>
      <c r="D17" s="3" t="n">
        <v>1</v>
      </c>
      <c r="E17" s="4" t="n">
        <v>281.66</v>
      </c>
      <c r="F17" s="4">
        <f>D17*E17</f>
        <v/>
      </c>
      <c r="G17" s="4" t="n">
        <v>205</v>
      </c>
      <c r="H17" s="4">
        <f>F17-G17</f>
        <v/>
      </c>
      <c r="I17" s="5">
        <f>IF(F17&gt;0, H17/F17, 0)</f>
        <v/>
      </c>
      <c r="J17" s="2" t="inlineStr">
        <is>
          <t>Sale</t>
        </is>
      </c>
    </row>
    <row r="18">
      <c r="A18" s="2" t="n">
        <v>17</v>
      </c>
      <c r="B18" s="2" t="inlineStr">
        <is>
          <t>2026-08-29</t>
        </is>
      </c>
      <c r="C18" s="2" t="inlineStr">
        <is>
          <t>DE26003B</t>
        </is>
      </c>
      <c r="D18" s="3" t="n">
        <v>1</v>
      </c>
      <c r="E18" s="4" t="n">
        <v>319.93</v>
      </c>
      <c r="F18" s="4">
        <f>D18*E18</f>
        <v/>
      </c>
      <c r="G18" s="4" t="n">
        <v>219</v>
      </c>
      <c r="H18" s="4">
        <f>F18-G18</f>
        <v/>
      </c>
      <c r="I18" s="5">
        <f>IF(F18&gt;0, H18/F18, 0)</f>
        <v/>
      </c>
      <c r="J18" s="2" t="inlineStr">
        <is>
          <t>Sale</t>
        </is>
      </c>
    </row>
    <row r="19">
      <c r="A19" s="2" t="n">
        <v>18</v>
      </c>
      <c r="B19" s="2" t="inlineStr">
        <is>
          <t>2026-08-29</t>
        </is>
      </c>
      <c r="C19" s="2" t="inlineStr">
        <is>
          <t>DE26003W</t>
        </is>
      </c>
      <c r="D19" s="3" t="n">
        <v>2</v>
      </c>
      <c r="E19" s="4" t="n">
        <v>307.36</v>
      </c>
      <c r="F19" s="4">
        <f>D19*E19</f>
        <v/>
      </c>
      <c r="G19" s="4" t="n">
        <v>438</v>
      </c>
      <c r="H19" s="4">
        <f>F19-G19</f>
        <v/>
      </c>
      <c r="I19" s="5">
        <f>IF(F19&gt;0, H19/F19, 0)</f>
        <v/>
      </c>
      <c r="J19" s="2" t="inlineStr">
        <is>
          <t>Sale</t>
        </is>
      </c>
    </row>
    <row r="20">
      <c r="A20" s="2" t="n">
        <v>19</v>
      </c>
      <c r="B20" s="2" t="inlineStr">
        <is>
          <t>2026-08-29</t>
        </is>
      </c>
      <c r="C20" s="2" t="inlineStr">
        <is>
          <t>DE26030R</t>
        </is>
      </c>
      <c r="D20" s="3" t="n">
        <v>1</v>
      </c>
      <c r="E20" s="4" t="n">
        <v>282.14</v>
      </c>
      <c r="F20" s="4">
        <f>D20*E20</f>
        <v/>
      </c>
      <c r="G20" s="4" t="n">
        <v>205</v>
      </c>
      <c r="H20" s="4">
        <f>F20-G20</f>
        <v/>
      </c>
      <c r="I20" s="5">
        <f>IF(F20&gt;0, H20/F20, 0)</f>
        <v/>
      </c>
      <c r="J20" s="2" t="inlineStr">
        <is>
          <t>Sale</t>
        </is>
      </c>
    </row>
    <row r="21">
      <c r="A21" s="2" t="n">
        <v>20</v>
      </c>
      <c r="B21" s="2" t="inlineStr">
        <is>
          <t>2026-08-29</t>
        </is>
      </c>
      <c r="C21" s="2" t="inlineStr">
        <is>
          <t>DE26063B</t>
        </is>
      </c>
      <c r="D21" s="3" t="n">
        <v>1</v>
      </c>
      <c r="E21" s="4" t="n">
        <v>281.93</v>
      </c>
      <c r="F21" s="4">
        <f>D21*E21</f>
        <v/>
      </c>
      <c r="G21" s="4" t="n">
        <v>219</v>
      </c>
      <c r="H21" s="4">
        <f>F21-G21</f>
        <v/>
      </c>
      <c r="I21" s="5">
        <f>IF(F21&gt;0, H21/F21, 0)</f>
        <v/>
      </c>
      <c r="J21" s="2" t="inlineStr">
        <is>
          <t>Sale</t>
        </is>
      </c>
    </row>
    <row r="22">
      <c r="A22" s="2" t="n">
        <v>21</v>
      </c>
      <c r="B22" s="2" t="inlineStr">
        <is>
          <t>2026-08-29</t>
        </is>
      </c>
      <c r="C22" s="2" t="inlineStr">
        <is>
          <t>DE26077Y</t>
        </is>
      </c>
      <c r="D22" s="3" t="n">
        <v>2</v>
      </c>
      <c r="E22" s="4" t="n">
        <v>307.57</v>
      </c>
      <c r="F22" s="4">
        <f>D22*E22</f>
        <v/>
      </c>
      <c r="G22" s="4" t="n">
        <v>440</v>
      </c>
      <c r="H22" s="4">
        <f>F22-G22</f>
        <v/>
      </c>
      <c r="I22" s="5">
        <f>IF(F22&gt;0, H22/F22, 0)</f>
        <v/>
      </c>
      <c r="J22" s="2" t="inlineStr">
        <is>
          <t>Sale</t>
        </is>
      </c>
    </row>
    <row r="23">
      <c r="A23" s="2" t="n">
        <v>22</v>
      </c>
      <c r="B23" s="2" t="inlineStr">
        <is>
          <t>2026-08-30</t>
        </is>
      </c>
      <c r="C23" s="2" t="inlineStr">
        <is>
          <t>DE26003W</t>
        </is>
      </c>
      <c r="D23" s="3" t="n">
        <v>3</v>
      </c>
      <c r="E23" s="4" t="n">
        <v>295.65</v>
      </c>
      <c r="F23" s="4">
        <f>D23*E23</f>
        <v/>
      </c>
      <c r="G23" s="4" t="n">
        <v>657</v>
      </c>
      <c r="H23" s="4">
        <f>F23-G23</f>
        <v/>
      </c>
      <c r="I23" s="5">
        <f>IF(F23&gt;0, H23/F23, 0)</f>
        <v/>
      </c>
      <c r="J23" s="2" t="inlineStr">
        <is>
          <t>Sale</t>
        </is>
      </c>
    </row>
    <row r="24">
      <c r="A24" s="2" t="n">
        <v>23</v>
      </c>
      <c r="B24" s="2" t="inlineStr">
        <is>
          <t>2026-08-30</t>
        </is>
      </c>
      <c r="C24" s="2" t="inlineStr">
        <is>
          <t>DE26063W</t>
        </is>
      </c>
      <c r="D24" s="3" t="n">
        <v>1</v>
      </c>
      <c r="E24" s="4" t="n">
        <v>295.65</v>
      </c>
      <c r="F24" s="4">
        <f>D24*E24</f>
        <v/>
      </c>
      <c r="G24" s="4" t="n">
        <v>219</v>
      </c>
      <c r="H24" s="4">
        <f>F24-G24</f>
        <v/>
      </c>
      <c r="I24" s="5">
        <f>IF(F24&gt;0, H24/F24, 0)</f>
        <v/>
      </c>
      <c r="J24" s="2" t="inlineStr">
        <is>
          <t>Sale</t>
        </is>
      </c>
    </row>
    <row r="25">
      <c r="A25" s="2" t="n">
        <v>24</v>
      </c>
      <c r="B25" s="2" t="inlineStr">
        <is>
          <t>2026-08-30</t>
        </is>
      </c>
      <c r="C25" s="2" t="inlineStr">
        <is>
          <t>DE26077R</t>
        </is>
      </c>
      <c r="D25" s="3" t="n">
        <v>1</v>
      </c>
      <c r="E25" s="4" t="n">
        <v>297</v>
      </c>
      <c r="F25" s="4">
        <f>D25*E25</f>
        <v/>
      </c>
      <c r="G25" s="4" t="n">
        <v>220</v>
      </c>
      <c r="H25" s="4">
        <f>F25-G25</f>
        <v/>
      </c>
      <c r="I25" s="5">
        <f>IF(F25&gt;0, H25/F25, 0)</f>
        <v/>
      </c>
      <c r="J25" s="2" t="inlineStr">
        <is>
          <t>Sale</t>
        </is>
      </c>
    </row>
    <row r="26">
      <c r="A26" s="2" t="n">
        <v>25</v>
      </c>
      <c r="B26" s="2" t="inlineStr">
        <is>
          <t>2026-08-31</t>
        </is>
      </c>
      <c r="C26" s="2" t="inlineStr">
        <is>
          <t>DE26003W</t>
        </is>
      </c>
      <c r="D26" s="3" t="n">
        <v>2</v>
      </c>
      <c r="E26" s="4" t="n">
        <v>317.805</v>
      </c>
      <c r="F26" s="4">
        <f>D26*E26</f>
        <v/>
      </c>
      <c r="G26" s="4" t="n">
        <v>438</v>
      </c>
      <c r="H26" s="4">
        <f>F26-G26</f>
        <v/>
      </c>
      <c r="I26" s="5">
        <f>IF(F26&gt;0, H26/F26, 0)</f>
        <v/>
      </c>
      <c r="J26" s="2" t="inlineStr">
        <is>
          <t>Sale</t>
        </is>
      </c>
    </row>
    <row r="27">
      <c r="A27" s="2" t="n">
        <v>26</v>
      </c>
      <c r="B27" s="2" t="inlineStr">
        <is>
          <t>2026-08-31</t>
        </is>
      </c>
      <c r="C27" s="2" t="inlineStr">
        <is>
          <t>DE26005M</t>
        </is>
      </c>
      <c r="D27" s="3" t="n">
        <v>1</v>
      </c>
      <c r="E27" s="4" t="n">
        <v>307.33</v>
      </c>
      <c r="F27" s="4">
        <f>D27*E27</f>
        <v/>
      </c>
      <c r="G27" s="4" t="n">
        <v>235</v>
      </c>
      <c r="H27" s="4">
        <f>F27-G27</f>
        <v/>
      </c>
      <c r="I27" s="5">
        <f>IF(F27&gt;0, H27/F27, 0)</f>
        <v/>
      </c>
      <c r="J27" s="2" t="inlineStr">
        <is>
          <t>Sale</t>
        </is>
      </c>
    </row>
    <row r="28">
      <c r="A28" s="2" t="n">
        <v>27</v>
      </c>
      <c r="B28" s="2" t="inlineStr">
        <is>
          <t>2026-08-31</t>
        </is>
      </c>
      <c r="C28" s="2" t="inlineStr">
        <is>
          <t>DE26077N</t>
        </is>
      </c>
      <c r="D28" s="3" t="n">
        <v>2</v>
      </c>
      <c r="E28" s="4" t="n">
        <v>308.49</v>
      </c>
      <c r="F28" s="4">
        <f>D28*E28</f>
        <v/>
      </c>
      <c r="G28" s="4" t="n">
        <v>440</v>
      </c>
      <c r="H28" s="4">
        <f>F28-G28</f>
        <v/>
      </c>
      <c r="I28" s="5">
        <f>IF(F28&gt;0, H28/F28, 0)</f>
        <v/>
      </c>
      <c r="J28" s="2" t="inlineStr">
        <is>
          <t>Sale</t>
        </is>
      </c>
    </row>
    <row r="29">
      <c r="A29" s="2" t="n">
        <v>28</v>
      </c>
      <c r="B29" s="2" t="inlineStr">
        <is>
          <t>2026-09-01</t>
        </is>
      </c>
      <c r="C29" s="2" t="inlineStr">
        <is>
          <t>DE26003B</t>
        </is>
      </c>
      <c r="D29" s="3" t="n">
        <v>2</v>
      </c>
      <c r="E29" s="4" t="n">
        <v>327.09</v>
      </c>
      <c r="F29" s="4">
        <f>D29*E29</f>
        <v/>
      </c>
      <c r="G29" s="4" t="n">
        <v>438</v>
      </c>
      <c r="H29" s="4">
        <f>F29-G29</f>
        <v/>
      </c>
      <c r="I29" s="5">
        <f>IF(F29&gt;0, H29/F29, 0)</f>
        <v/>
      </c>
      <c r="J29" s="2" t="inlineStr">
        <is>
          <t>Sale</t>
        </is>
      </c>
    </row>
    <row r="30">
      <c r="A30" s="2" t="n">
        <v>29</v>
      </c>
      <c r="B30" s="2" t="inlineStr">
        <is>
          <t>2026-09-01</t>
        </is>
      </c>
      <c r="C30" s="2" t="inlineStr">
        <is>
          <t>DE26030M</t>
        </is>
      </c>
      <c r="D30" s="3" t="n">
        <v>2</v>
      </c>
      <c r="E30" s="4" t="n">
        <v>289.645</v>
      </c>
      <c r="F30" s="4">
        <f>D30*E30</f>
        <v/>
      </c>
      <c r="G30" s="4" t="n">
        <v>410</v>
      </c>
      <c r="H30" s="4">
        <f>F30-G30</f>
        <v/>
      </c>
      <c r="I30" s="5">
        <f>IF(F30&gt;0, H30/F30, 0)</f>
        <v/>
      </c>
      <c r="J30" s="2" t="inlineStr">
        <is>
          <t>Sale</t>
        </is>
      </c>
    </row>
    <row r="31">
      <c r="A31" s="2" t="n">
        <v>30</v>
      </c>
      <c r="B31" s="2" t="inlineStr">
        <is>
          <t>2026-09-02</t>
        </is>
      </c>
      <c r="C31" s="2" t="inlineStr">
        <is>
          <t>DE26003B</t>
        </is>
      </c>
      <c r="D31" s="3" t="n">
        <v>1</v>
      </c>
      <c r="E31" s="4" t="n">
        <v>336.97</v>
      </c>
      <c r="F31" s="4">
        <f>D31*E31</f>
        <v/>
      </c>
      <c r="G31" s="4" t="n">
        <v>219</v>
      </c>
      <c r="H31" s="4">
        <f>F31-G31</f>
        <v/>
      </c>
      <c r="I31" s="5">
        <f>IF(F31&gt;0, H31/F31, 0)</f>
        <v/>
      </c>
      <c r="J31" s="2" t="inlineStr">
        <is>
          <t>Sale</t>
        </is>
      </c>
    </row>
    <row r="32">
      <c r="A32" s="2" t="n">
        <v>31</v>
      </c>
      <c r="B32" s="2" t="inlineStr">
        <is>
          <t>2026-09-02</t>
        </is>
      </c>
      <c r="C32" s="2" t="inlineStr">
        <is>
          <t>DE26004R</t>
        </is>
      </c>
      <c r="D32" s="3" t="n">
        <v>1</v>
      </c>
      <c r="E32" s="4" t="n">
        <v>124.68</v>
      </c>
      <c r="F32" s="4">
        <f>D32*E32</f>
        <v/>
      </c>
      <c r="G32" s="4" t="n">
        <v>219</v>
      </c>
      <c r="H32" s="4">
        <f>F32-G32</f>
        <v/>
      </c>
      <c r="I32" s="5">
        <f>IF(F32&gt;0, H32/F32, 0)</f>
        <v/>
      </c>
      <c r="J32" s="2" t="inlineStr">
        <is>
          <t>Exchange EX-002</t>
        </is>
      </c>
    </row>
    <row r="33">
      <c r="A33" s="2" t="n">
        <v>32</v>
      </c>
      <c r="B33" s="2" t="inlineStr">
        <is>
          <t>2026-09-02</t>
        </is>
      </c>
      <c r="C33" s="2" t="inlineStr">
        <is>
          <t>DE26077Y</t>
        </is>
      </c>
      <c r="D33" s="3" t="n">
        <v>1</v>
      </c>
      <c r="E33" s="4" t="n">
        <v>318.52</v>
      </c>
      <c r="F33" s="4">
        <f>D33*E33</f>
        <v/>
      </c>
      <c r="G33" s="4" t="n">
        <v>220</v>
      </c>
      <c r="H33" s="4">
        <f>F33-G33</f>
        <v/>
      </c>
      <c r="I33" s="5">
        <f>IF(F33&gt;0, H33/F33, 0)</f>
        <v/>
      </c>
      <c r="J33" s="2" t="inlineStr">
        <is>
          <t>Sale</t>
        </is>
      </c>
    </row>
    <row r="34">
      <c r="A34" s="2" t="n">
        <v>33</v>
      </c>
      <c r="B34" s="2" t="inlineStr">
        <is>
          <t>2026-09-03</t>
        </is>
      </c>
      <c r="C34" s="2" t="inlineStr">
        <is>
          <t>DE26003W</t>
        </is>
      </c>
      <c r="D34" s="3" t="n">
        <v>1</v>
      </c>
      <c r="E34" s="4" t="n">
        <v>298.66</v>
      </c>
      <c r="F34" s="4">
        <f>D34*E34</f>
        <v/>
      </c>
      <c r="G34" s="4" t="n">
        <v>219</v>
      </c>
      <c r="H34" s="4">
        <f>F34-G34</f>
        <v/>
      </c>
      <c r="I34" s="5">
        <f>IF(F34&gt;0, H34/F34, 0)</f>
        <v/>
      </c>
      <c r="J34" s="2" t="inlineStr">
        <is>
          <t>Sale</t>
        </is>
      </c>
    </row>
    <row r="35">
      <c r="A35" s="2" t="n">
        <v>34</v>
      </c>
      <c r="B35" s="2" t="inlineStr">
        <is>
          <t>2026-09-03</t>
        </is>
      </c>
      <c r="C35" s="2" t="inlineStr">
        <is>
          <t>DE26005N</t>
        </is>
      </c>
      <c r="D35" s="3" t="n">
        <v>1</v>
      </c>
      <c r="E35" s="4" t="n">
        <v>271.06</v>
      </c>
      <c r="F35" s="4">
        <f>D35*E35</f>
        <v/>
      </c>
      <c r="G35" s="4" t="n">
        <v>235</v>
      </c>
      <c r="H35" s="4">
        <f>F35-G35</f>
        <v/>
      </c>
      <c r="I35" s="5">
        <f>IF(F35&gt;0, H35/F35, 0)</f>
        <v/>
      </c>
      <c r="J35" s="2" t="inlineStr">
        <is>
          <t>Sale</t>
        </is>
      </c>
    </row>
    <row r="36">
      <c r="A36" s="2" t="n">
        <v>35</v>
      </c>
      <c r="B36" s="2" t="inlineStr">
        <is>
          <t>2026-09-04</t>
        </is>
      </c>
      <c r="C36" s="2" t="inlineStr">
        <is>
          <t>DE26030B</t>
        </is>
      </c>
      <c r="D36" s="3" t="n">
        <v>1</v>
      </c>
      <c r="E36" s="4" t="n">
        <v>281.28</v>
      </c>
      <c r="F36" s="4">
        <f>D36*E36</f>
        <v/>
      </c>
      <c r="G36" s="4" t="n">
        <v>205</v>
      </c>
      <c r="H36" s="4">
        <f>F36-G36</f>
        <v/>
      </c>
      <c r="I36" s="5">
        <f>IF(F36&gt;0, H36/F36, 0)</f>
        <v/>
      </c>
      <c r="J36" s="2" t="inlineStr">
        <is>
          <t>Sale</t>
        </is>
      </c>
    </row>
    <row r="37">
      <c r="A37" s="2" t="n">
        <v>36</v>
      </c>
      <c r="B37" s="2" t="inlineStr">
        <is>
          <t>2026-09-04</t>
        </is>
      </c>
      <c r="C37" s="2" t="inlineStr">
        <is>
          <t>DE26077N</t>
        </is>
      </c>
      <c r="D37" s="3" t="n">
        <v>1</v>
      </c>
      <c r="E37" s="4" t="n">
        <v>283.27</v>
      </c>
      <c r="F37" s="4">
        <f>D37*E37</f>
        <v/>
      </c>
      <c r="G37" s="4" t="n">
        <v>220</v>
      </c>
      <c r="H37" s="4">
        <f>F37-G37</f>
        <v/>
      </c>
      <c r="I37" s="5">
        <f>IF(F37&gt;0, H37/F37, 0)</f>
        <v/>
      </c>
      <c r="J37" s="2" t="inlineStr">
        <is>
          <t>Sale</t>
        </is>
      </c>
    </row>
    <row r="38">
      <c r="A38" s="2" t="n">
        <v>37</v>
      </c>
      <c r="B38" s="2" t="inlineStr">
        <is>
          <t>2026-09-04</t>
        </is>
      </c>
      <c r="C38" s="2" t="inlineStr">
        <is>
          <t>DE26077R</t>
        </is>
      </c>
      <c r="D38" s="3" t="n">
        <v>1</v>
      </c>
      <c r="E38" s="4" t="n">
        <v>280.8</v>
      </c>
      <c r="F38" s="4">
        <f>D38*E38</f>
        <v/>
      </c>
      <c r="G38" s="4" t="n">
        <v>220</v>
      </c>
      <c r="H38" s="4">
        <f>F38-G38</f>
        <v/>
      </c>
      <c r="I38" s="5">
        <f>IF(F38&gt;0, H38/F38, 0)</f>
        <v/>
      </c>
      <c r="J38" s="2" t="inlineStr">
        <is>
          <t>Sale</t>
        </is>
      </c>
    </row>
    <row r="39">
      <c r="A39" s="2" t="n">
        <v>38</v>
      </c>
      <c r="B39" s="2" t="inlineStr">
        <is>
          <t>2026-09-04</t>
        </is>
      </c>
      <c r="C39" s="2" t="inlineStr">
        <is>
          <t>DE26077Y</t>
        </is>
      </c>
      <c r="D39" s="3" t="n">
        <v>1</v>
      </c>
      <c r="E39" s="4" t="n">
        <v>280.98</v>
      </c>
      <c r="F39" s="4">
        <f>D39*E39</f>
        <v/>
      </c>
      <c r="G39" s="4" t="n">
        <v>220</v>
      </c>
      <c r="H39" s="4">
        <f>F39-G39</f>
        <v/>
      </c>
      <c r="I39" s="5">
        <f>IF(F39&gt;0, H39/F39, 0)</f>
        <v/>
      </c>
      <c r="J39" s="2" t="inlineStr">
        <is>
          <t>Sale</t>
        </is>
      </c>
    </row>
    <row r="40">
      <c r="A40" s="2" t="n">
        <v>39</v>
      </c>
      <c r="B40" s="2" t="inlineStr">
        <is>
          <t>2026-09-06</t>
        </is>
      </c>
      <c r="C40" s="2" t="inlineStr">
        <is>
          <t>DE26003B</t>
        </is>
      </c>
      <c r="D40" s="3" t="n">
        <v>1</v>
      </c>
      <c r="E40" s="4" t="n">
        <v>298.81</v>
      </c>
      <c r="F40" s="4">
        <f>D40*E40</f>
        <v/>
      </c>
      <c r="G40" s="4" t="n">
        <v>219</v>
      </c>
      <c r="H40" s="4">
        <f>F40-G40</f>
        <v/>
      </c>
      <c r="I40" s="5">
        <f>IF(F40&gt;0, H40/F40, 0)</f>
        <v/>
      </c>
      <c r="J40" s="2" t="inlineStr">
        <is>
          <t>Sale</t>
        </is>
      </c>
    </row>
    <row r="41">
      <c r="A41" s="2" t="n">
        <v>40</v>
      </c>
      <c r="B41" s="2" t="inlineStr">
        <is>
          <t>2026-09-06</t>
        </is>
      </c>
      <c r="C41" s="2" t="inlineStr">
        <is>
          <t>DE26004N</t>
        </is>
      </c>
      <c r="D41" s="3" t="n">
        <v>1</v>
      </c>
      <c r="E41" s="4" t="n">
        <v>285.9</v>
      </c>
      <c r="F41" s="4">
        <f>D41*E41</f>
        <v/>
      </c>
      <c r="G41" s="4" t="n">
        <v>219</v>
      </c>
      <c r="H41" s="4">
        <f>F41-G41</f>
        <v/>
      </c>
      <c r="I41" s="5">
        <f>IF(F41&gt;0, H41/F41, 0)</f>
        <v/>
      </c>
      <c r="J41" s="2" t="inlineStr">
        <is>
          <t>Sale</t>
        </is>
      </c>
    </row>
    <row r="42">
      <c r="A42" s="2" t="n">
        <v>41</v>
      </c>
      <c r="B42" s="2" t="inlineStr">
        <is>
          <t>2026-09-06</t>
        </is>
      </c>
      <c r="C42" s="2" t="inlineStr">
        <is>
          <t>DE26077N</t>
        </is>
      </c>
      <c r="D42" s="3" t="n">
        <v>1</v>
      </c>
      <c r="E42" s="4" t="n">
        <v>318.08</v>
      </c>
      <c r="F42" s="4">
        <f>D42*E42</f>
        <v/>
      </c>
      <c r="G42" s="4" t="n">
        <v>220</v>
      </c>
      <c r="H42" s="4">
        <f>F42-G42</f>
        <v/>
      </c>
      <c r="I42" s="5">
        <f>IF(F42&gt;0, H42/F42, 0)</f>
        <v/>
      </c>
      <c r="J42" s="2" t="inlineStr">
        <is>
          <t>Sale</t>
        </is>
      </c>
    </row>
    <row r="43">
      <c r="A43" s="2" t="n">
        <v>42</v>
      </c>
      <c r="B43" s="2" t="inlineStr">
        <is>
          <t>2026-09-06</t>
        </is>
      </c>
      <c r="C43" s="2" t="inlineStr">
        <is>
          <t>DE26077R</t>
        </is>
      </c>
      <c r="D43" s="3" t="n">
        <v>1</v>
      </c>
      <c r="E43" s="4" t="n">
        <v>280.98</v>
      </c>
      <c r="F43" s="4">
        <f>D43*E43</f>
        <v/>
      </c>
      <c r="G43" s="4" t="n">
        <v>220</v>
      </c>
      <c r="H43" s="4">
        <f>F43-G43</f>
        <v/>
      </c>
      <c r="I43" s="5">
        <f>IF(F43&gt;0, H43/F43, 0)</f>
        <v/>
      </c>
      <c r="J43" s="2" t="inlineStr">
        <is>
          <t>Sale</t>
        </is>
      </c>
    </row>
    <row r="44">
      <c r="A44" s="2" t="n">
        <v>43</v>
      </c>
      <c r="B44" s="2" t="inlineStr">
        <is>
          <t>2026-09-06</t>
        </is>
      </c>
      <c r="C44" s="2" t="inlineStr">
        <is>
          <t>DE26077Y</t>
        </is>
      </c>
      <c r="D44" s="3" t="n">
        <v>2</v>
      </c>
      <c r="E44" s="4" t="n">
        <v>284.39</v>
      </c>
      <c r="F44" s="4">
        <f>D44*E44</f>
        <v/>
      </c>
      <c r="G44" s="4" t="n">
        <v>440</v>
      </c>
      <c r="H44" s="4">
        <f>F44-G44</f>
        <v/>
      </c>
      <c r="I44" s="5">
        <f>IF(F44&gt;0, H44/F44, 0)</f>
        <v/>
      </c>
      <c r="J44" s="2" t="inlineStr">
        <is>
          <t>Sale</t>
        </is>
      </c>
    </row>
    <row r="45">
      <c r="A45" s="2" t="n">
        <v>44</v>
      </c>
      <c r="B45" s="2" t="inlineStr">
        <is>
          <t>2026-09-07</t>
        </is>
      </c>
      <c r="C45" s="2" t="inlineStr">
        <is>
          <t>DE26077R</t>
        </is>
      </c>
      <c r="D45" s="3" t="n">
        <v>3</v>
      </c>
      <c r="E45" s="4" t="n">
        <v>283.82</v>
      </c>
      <c r="F45" s="4">
        <f>D45*E45</f>
        <v/>
      </c>
      <c r="G45" s="4" t="n">
        <v>660</v>
      </c>
      <c r="H45" s="4">
        <f>F45-G45</f>
        <v/>
      </c>
      <c r="I45" s="5">
        <f>IF(F45&gt;0, H45/F45, 0)</f>
        <v/>
      </c>
      <c r="J45" s="2" t="inlineStr">
        <is>
          <t>Sale</t>
        </is>
      </c>
    </row>
    <row r="46">
      <c r="A46" s="2" t="n">
        <v>45</v>
      </c>
      <c r="B46" s="2" t="inlineStr">
        <is>
          <t>2026-09-09</t>
        </is>
      </c>
      <c r="C46" s="2" t="inlineStr">
        <is>
          <t>DE26002R</t>
        </is>
      </c>
      <c r="D46" s="3" t="n">
        <v>1</v>
      </c>
      <c r="E46" s="4" t="n">
        <v>336.97</v>
      </c>
      <c r="F46" s="4">
        <f>D46*E46</f>
        <v/>
      </c>
      <c r="G46" s="4" t="n">
        <v>235</v>
      </c>
      <c r="H46" s="4">
        <f>F46-G46</f>
        <v/>
      </c>
      <c r="I46" s="5">
        <f>IF(F46&gt;0, H46/F46, 0)</f>
        <v/>
      </c>
      <c r="J46" s="2" t="inlineStr">
        <is>
          <t>Sale</t>
        </is>
      </c>
    </row>
    <row r="47">
      <c r="A47" s="2" t="n">
        <v>46</v>
      </c>
      <c r="B47" s="2" t="inlineStr">
        <is>
          <t>2026-09-09</t>
        </is>
      </c>
      <c r="C47" s="2" t="inlineStr">
        <is>
          <t>DE26003W</t>
        </is>
      </c>
      <c r="D47" s="3" t="n">
        <v>1</v>
      </c>
      <c r="E47" s="4" t="n">
        <v>335.79</v>
      </c>
      <c r="F47" s="4">
        <f>D47*E47</f>
        <v/>
      </c>
      <c r="G47" s="4" t="n">
        <v>219</v>
      </c>
      <c r="H47" s="4">
        <f>F47-G47</f>
        <v/>
      </c>
      <c r="I47" s="5">
        <f>IF(F47&gt;0, H47/F47, 0)</f>
        <v/>
      </c>
      <c r="J47" s="2" t="inlineStr">
        <is>
          <t>Sale</t>
        </is>
      </c>
    </row>
    <row r="48">
      <c r="A48" s="2" t="n">
        <v>47</v>
      </c>
      <c r="B48" s="2" t="inlineStr">
        <is>
          <t>2026-09-09</t>
        </is>
      </c>
      <c r="C48" s="2" t="inlineStr">
        <is>
          <t>DE26008R</t>
        </is>
      </c>
      <c r="D48" s="3" t="n">
        <v>1</v>
      </c>
      <c r="E48" s="4" t="n">
        <v>311.24</v>
      </c>
      <c r="F48" s="4">
        <f>D48*E48</f>
        <v/>
      </c>
      <c r="G48" s="4" t="n">
        <v>235</v>
      </c>
      <c r="H48" s="4">
        <f>F48-G48</f>
        <v/>
      </c>
      <c r="I48" s="5">
        <f>IF(F48&gt;0, H48/F48, 0)</f>
        <v/>
      </c>
      <c r="J48" s="2" t="inlineStr">
        <is>
          <t>Sale</t>
        </is>
      </c>
    </row>
    <row r="49">
      <c r="A49" s="2" t="n">
        <v>48</v>
      </c>
      <c r="B49" s="2" t="inlineStr">
        <is>
          <t>2026-09-09</t>
        </is>
      </c>
      <c r="C49" s="2" t="inlineStr">
        <is>
          <t>DE26077N</t>
        </is>
      </c>
      <c r="D49" s="3" t="n">
        <v>1</v>
      </c>
      <c r="E49" s="4" t="n">
        <v>283.23</v>
      </c>
      <c r="F49" s="4">
        <f>D49*E49</f>
        <v/>
      </c>
      <c r="G49" s="4" t="n">
        <v>220</v>
      </c>
      <c r="H49" s="4">
        <f>F49-G49</f>
        <v/>
      </c>
      <c r="I49" s="5">
        <f>IF(F49&gt;0, H49/F49, 0)</f>
        <v/>
      </c>
      <c r="J49" s="2" t="inlineStr">
        <is>
          <t>Sale</t>
        </is>
      </c>
    </row>
    <row r="50">
      <c r="A50" s="2" t="n">
        <v>49</v>
      </c>
      <c r="B50" s="2" t="inlineStr">
        <is>
          <t>2026-09-10</t>
        </is>
      </c>
      <c r="C50" s="2" t="inlineStr">
        <is>
          <t>DE26009G</t>
        </is>
      </c>
      <c r="D50" s="3" t="n">
        <v>1</v>
      </c>
      <c r="E50" s="4" t="n">
        <v>328.02</v>
      </c>
      <c r="F50" s="4">
        <f>D50*E50</f>
        <v/>
      </c>
      <c r="G50" s="4" t="n">
        <v>225</v>
      </c>
      <c r="H50" s="4">
        <f>F50-G50</f>
        <v/>
      </c>
      <c r="I50" s="5">
        <f>IF(F50&gt;0, H50/F50, 0)</f>
        <v/>
      </c>
      <c r="J50" s="2" t="inlineStr">
        <is>
          <t>Sale</t>
        </is>
      </c>
    </row>
    <row r="51">
      <c r="A51" s="2" t="n">
        <v>50</v>
      </c>
      <c r="B51" s="2" t="inlineStr">
        <is>
          <t>2026-09-11</t>
        </is>
      </c>
      <c r="C51" s="2" t="inlineStr">
        <is>
          <t>DE26006R</t>
        </is>
      </c>
      <c r="D51" s="3" t="n">
        <v>3</v>
      </c>
      <c r="E51" s="4" t="n">
        <v>309.83</v>
      </c>
      <c r="F51" s="4">
        <f>D51*E51</f>
        <v/>
      </c>
      <c r="G51" s="4" t="n">
        <v>705</v>
      </c>
      <c r="H51" s="4">
        <f>F51-G51</f>
        <v/>
      </c>
      <c r="I51" s="5">
        <f>IF(F51&gt;0, H51/F51, 0)</f>
        <v/>
      </c>
      <c r="J51" s="2" t="inlineStr">
        <is>
          <t>Sale</t>
        </is>
      </c>
    </row>
    <row r="52">
      <c r="A52" s="2" t="n">
        <v>51</v>
      </c>
      <c r="B52" s="2" t="inlineStr">
        <is>
          <t>2026-09-11</t>
        </is>
      </c>
      <c r="C52" s="2" t="inlineStr">
        <is>
          <t>DE26009P</t>
        </is>
      </c>
      <c r="D52" s="3" t="n">
        <v>1</v>
      </c>
      <c r="E52" s="4" t="n">
        <v>302.1</v>
      </c>
      <c r="F52" s="4">
        <f>D52*E52</f>
        <v/>
      </c>
      <c r="G52" s="4" t="n">
        <v>225</v>
      </c>
      <c r="H52" s="4">
        <f>F52-G52</f>
        <v/>
      </c>
      <c r="I52" s="5">
        <f>IF(F52&gt;0, H52/F52, 0)</f>
        <v/>
      </c>
      <c r="J52" s="2" t="inlineStr">
        <is>
          <t>Sale</t>
        </is>
      </c>
    </row>
    <row r="53">
      <c r="A53" s="2" t="n">
        <v>52</v>
      </c>
      <c r="B53" s="2" t="inlineStr">
        <is>
          <t>2026-09-12</t>
        </is>
      </c>
      <c r="C53" s="2" t="inlineStr">
        <is>
          <t>DE26007R</t>
        </is>
      </c>
      <c r="D53" s="3" t="n">
        <v>1</v>
      </c>
      <c r="E53" s="4" t="n">
        <v>309.66</v>
      </c>
      <c r="F53" s="4">
        <f>D53*E53</f>
        <v/>
      </c>
      <c r="G53" s="4" t="n">
        <v>235</v>
      </c>
      <c r="H53" s="4">
        <f>F53-G53</f>
        <v/>
      </c>
      <c r="I53" s="5">
        <f>IF(F53&gt;0, H53/F53, 0)</f>
        <v/>
      </c>
      <c r="J53" s="2" t="inlineStr">
        <is>
          <t>Sale</t>
        </is>
      </c>
    </row>
    <row r="54">
      <c r="A54" s="2" t="n">
        <v>53</v>
      </c>
      <c r="B54" s="2" t="inlineStr">
        <is>
          <t>2026-09-12</t>
        </is>
      </c>
      <c r="C54" s="2" t="inlineStr">
        <is>
          <t>DE26030R</t>
        </is>
      </c>
      <c r="D54" s="3" t="n">
        <v>1</v>
      </c>
      <c r="E54" s="4" t="n">
        <v>291.2</v>
      </c>
      <c r="F54" s="4">
        <f>D54*E54</f>
        <v/>
      </c>
      <c r="G54" s="4" t="n">
        <v>205</v>
      </c>
      <c r="H54" s="4">
        <f>F54-G54</f>
        <v/>
      </c>
      <c r="I54" s="5">
        <f>IF(F54&gt;0, H54/F54, 0)</f>
        <v/>
      </c>
      <c r="J54" s="2" t="inlineStr">
        <is>
          <t>Sale</t>
        </is>
      </c>
    </row>
    <row r="55">
      <c r="A55" s="2" t="n">
        <v>54</v>
      </c>
      <c r="B55" s="2" t="inlineStr">
        <is>
          <t>2026-09-13</t>
        </is>
      </c>
      <c r="C55" s="2" t="inlineStr">
        <is>
          <t>DE26002N</t>
        </is>
      </c>
      <c r="D55" s="3" t="n">
        <v>1</v>
      </c>
      <c r="E55" s="4" t="n">
        <v>337.09</v>
      </c>
      <c r="F55" s="4">
        <f>D55*E55</f>
        <v/>
      </c>
      <c r="G55" s="4" t="n">
        <v>235</v>
      </c>
      <c r="H55" s="4">
        <f>F55-G55</f>
        <v/>
      </c>
      <c r="I55" s="5">
        <f>IF(F55&gt;0, H55/F55, 0)</f>
        <v/>
      </c>
      <c r="J55" s="2" t="inlineStr">
        <is>
          <t>Sale</t>
        </is>
      </c>
    </row>
    <row r="56">
      <c r="A56" s="2" t="n">
        <v>55</v>
      </c>
      <c r="B56" s="2" t="inlineStr">
        <is>
          <t>2026-09-13</t>
        </is>
      </c>
      <c r="C56" s="2" t="inlineStr">
        <is>
          <t>DE26009G</t>
        </is>
      </c>
      <c r="D56" s="3" t="n">
        <v>1</v>
      </c>
      <c r="E56" s="4" t="n">
        <v>302.78</v>
      </c>
      <c r="F56" s="4">
        <f>D56*E56</f>
        <v/>
      </c>
      <c r="G56" s="4" t="n">
        <v>225</v>
      </c>
      <c r="H56" s="4">
        <f>F56-G56</f>
        <v/>
      </c>
      <c r="I56" s="5">
        <f>IF(F56&gt;0, H56/F56, 0)</f>
        <v/>
      </c>
      <c r="J56" s="2" t="inlineStr">
        <is>
          <t>Sale</t>
        </is>
      </c>
    </row>
    <row r="57">
      <c r="A57" s="2" t="n">
        <v>56</v>
      </c>
      <c r="B57" s="2" t="inlineStr">
        <is>
          <t>2026-09-14</t>
        </is>
      </c>
      <c r="C57" s="2" t="inlineStr">
        <is>
          <t>DE26002R</t>
        </is>
      </c>
      <c r="D57" s="3" t="n">
        <v>1</v>
      </c>
      <c r="E57" s="4" t="n">
        <v>315.37</v>
      </c>
      <c r="F57" s="4">
        <f>D57*E57</f>
        <v/>
      </c>
      <c r="G57" s="4" t="n">
        <v>235</v>
      </c>
      <c r="H57" s="4">
        <f>F57-G57</f>
        <v/>
      </c>
      <c r="I57" s="5">
        <f>IF(F57&gt;0, H57/F57, 0)</f>
        <v/>
      </c>
      <c r="J57" s="2" t="inlineStr">
        <is>
          <t>Sale</t>
        </is>
      </c>
    </row>
    <row r="58">
      <c r="A58" s="2" t="n">
        <v>57</v>
      </c>
      <c r="B58" s="2" t="inlineStr">
        <is>
          <t>2026-09-14</t>
        </is>
      </c>
      <c r="C58" s="2" t="inlineStr">
        <is>
          <t>DE26006R</t>
        </is>
      </c>
      <c r="D58" s="3" t="n">
        <v>1</v>
      </c>
      <c r="E58" s="4" t="n">
        <v>309.48</v>
      </c>
      <c r="F58" s="4">
        <f>D58*E58</f>
        <v/>
      </c>
      <c r="G58" s="4" t="n">
        <v>235</v>
      </c>
      <c r="H58" s="4">
        <f>F58-G58</f>
        <v/>
      </c>
      <c r="I58" s="5">
        <f>IF(F58&gt;0, H58/F58, 0)</f>
        <v/>
      </c>
      <c r="J58" s="2" t="inlineStr">
        <is>
          <t>Sale</t>
        </is>
      </c>
    </row>
    <row r="59">
      <c r="A59" s="2" t="n">
        <v>58</v>
      </c>
      <c r="B59" s="2" t="inlineStr">
        <is>
          <t>2026-09-15</t>
        </is>
      </c>
      <c r="C59" s="2" t="inlineStr">
        <is>
          <t>DE26003W</t>
        </is>
      </c>
      <c r="D59" s="3" t="n">
        <v>1</v>
      </c>
      <c r="E59" s="4" t="n">
        <v>314.71</v>
      </c>
      <c r="F59" s="4">
        <f>D59*E59</f>
        <v/>
      </c>
      <c r="G59" s="4" t="n">
        <v>219</v>
      </c>
      <c r="H59" s="4">
        <f>F59-G59</f>
        <v/>
      </c>
      <c r="I59" s="5">
        <f>IF(F59&gt;0, H59/F59, 0)</f>
        <v/>
      </c>
      <c r="J59" s="2" t="inlineStr">
        <is>
          <t>Sale</t>
        </is>
      </c>
    </row>
    <row r="60">
      <c r="A60" s="2" t="n">
        <v>59</v>
      </c>
      <c r="B60" s="2" t="inlineStr">
        <is>
          <t>2026-09-15</t>
        </is>
      </c>
      <c r="C60" s="2" t="inlineStr">
        <is>
          <t>DE26007N</t>
        </is>
      </c>
      <c r="D60" s="3" t="n">
        <v>2</v>
      </c>
      <c r="E60" s="4" t="n">
        <v>325.765</v>
      </c>
      <c r="F60" s="4">
        <f>D60*E60</f>
        <v/>
      </c>
      <c r="G60" s="4" t="n">
        <v>470</v>
      </c>
      <c r="H60" s="4">
        <f>F60-G60</f>
        <v/>
      </c>
      <c r="I60" s="5">
        <f>IF(F60&gt;0, H60/F60, 0)</f>
        <v/>
      </c>
      <c r="J60" s="2" t="inlineStr">
        <is>
          <t>Sale</t>
        </is>
      </c>
    </row>
    <row r="61">
      <c r="A61" s="2" t="n">
        <v>60</v>
      </c>
      <c r="B61" s="2" t="inlineStr">
        <is>
          <t>2026-09-15</t>
        </is>
      </c>
      <c r="C61" s="2" t="inlineStr">
        <is>
          <t>DE26009G</t>
        </is>
      </c>
      <c r="D61" s="3" t="n">
        <v>1</v>
      </c>
      <c r="E61" s="4" t="n">
        <v>328.34</v>
      </c>
      <c r="F61" s="4">
        <f>D61*E61</f>
        <v/>
      </c>
      <c r="G61" s="4" t="n">
        <v>225</v>
      </c>
      <c r="H61" s="4">
        <f>F61-G61</f>
        <v/>
      </c>
      <c r="I61" s="5">
        <f>IF(F61&gt;0, H61/F61, 0)</f>
        <v/>
      </c>
      <c r="J61" s="2" t="inlineStr">
        <is>
          <t>Sale</t>
        </is>
      </c>
    </row>
    <row r="62">
      <c r="A62" s="2" t="n">
        <v>61</v>
      </c>
      <c r="B62" s="2" t="inlineStr">
        <is>
          <t>2026-09-15</t>
        </is>
      </c>
      <c r="C62" s="2" t="inlineStr">
        <is>
          <t>DE26077R</t>
        </is>
      </c>
      <c r="D62" s="3" t="n">
        <v>1</v>
      </c>
      <c r="E62" s="4" t="n">
        <v>317.94</v>
      </c>
      <c r="F62" s="4">
        <f>D62*E62</f>
        <v/>
      </c>
      <c r="G62" s="4" t="n">
        <v>220</v>
      </c>
      <c r="H62" s="4">
        <f>F62-G62</f>
        <v/>
      </c>
      <c r="I62" s="5">
        <f>IF(F62&gt;0, H62/F62, 0)</f>
        <v/>
      </c>
      <c r="J62" s="2" t="inlineStr">
        <is>
          <t>Sale</t>
        </is>
      </c>
    </row>
    <row r="63">
      <c r="A63" s="2" t="n">
        <v>62</v>
      </c>
      <c r="B63" s="2" t="inlineStr">
        <is>
          <t>2026-09-16</t>
        </is>
      </c>
      <c r="C63" s="2" t="inlineStr">
        <is>
          <t>DE26002M</t>
        </is>
      </c>
      <c r="D63" s="3" t="n">
        <v>1</v>
      </c>
      <c r="E63" s="4" t="n">
        <v>366.57</v>
      </c>
      <c r="F63" s="4">
        <f>D63*E63</f>
        <v/>
      </c>
      <c r="G63" s="4" t="n">
        <v>235</v>
      </c>
      <c r="H63" s="4">
        <f>F63-G63</f>
        <v/>
      </c>
      <c r="I63" s="5">
        <f>IF(F63&gt;0, H63/F63, 0)</f>
        <v/>
      </c>
      <c r="J63" s="2" t="inlineStr">
        <is>
          <t>Sale</t>
        </is>
      </c>
    </row>
    <row r="64">
      <c r="A64" s="2" t="n">
        <v>63</v>
      </c>
      <c r="B64" s="2" t="inlineStr">
        <is>
          <t>2026-09-16</t>
        </is>
      </c>
      <c r="C64" s="2" t="inlineStr">
        <is>
          <t>DE26002R</t>
        </is>
      </c>
      <c r="D64" s="3" t="n">
        <v>1</v>
      </c>
      <c r="E64" s="4" t="n">
        <v>366.79</v>
      </c>
      <c r="F64" s="4">
        <f>D64*E64</f>
        <v/>
      </c>
      <c r="G64" s="4" t="n">
        <v>235</v>
      </c>
      <c r="H64" s="4">
        <f>F64-G64</f>
        <v/>
      </c>
      <c r="I64" s="5">
        <f>IF(F64&gt;0, H64/F64, 0)</f>
        <v/>
      </c>
      <c r="J64" s="2" t="inlineStr">
        <is>
          <t>Sale</t>
        </is>
      </c>
    </row>
    <row r="65">
      <c r="A65" s="2" t="n">
        <v>64</v>
      </c>
      <c r="B65" s="2" t="inlineStr">
        <is>
          <t>2026-09-16</t>
        </is>
      </c>
      <c r="C65" s="2" t="inlineStr">
        <is>
          <t>DE26006B</t>
        </is>
      </c>
      <c r="D65" s="3" t="n">
        <v>1</v>
      </c>
      <c r="E65" s="4" t="n">
        <v>336.72</v>
      </c>
      <c r="F65" s="4">
        <f>D65*E65</f>
        <v/>
      </c>
      <c r="G65" s="4" t="n">
        <v>235</v>
      </c>
      <c r="H65" s="4">
        <f>F65-G65</f>
        <v/>
      </c>
      <c r="I65" s="5">
        <f>IF(F65&gt;0, H65/F65, 0)</f>
        <v/>
      </c>
      <c r="J65" s="2" t="inlineStr">
        <is>
          <t>Sale</t>
        </is>
      </c>
    </row>
    <row r="66">
      <c r="A66" s="2" t="n">
        <v>65</v>
      </c>
      <c r="B66" s="2" t="inlineStr">
        <is>
          <t>2026-09-16</t>
        </is>
      </c>
      <c r="C66" s="2" t="inlineStr">
        <is>
          <t>DE26006R</t>
        </is>
      </c>
      <c r="D66" s="3" t="n">
        <v>1</v>
      </c>
      <c r="E66" s="4" t="n">
        <v>336.71</v>
      </c>
      <c r="F66" s="4">
        <f>D66*E66</f>
        <v/>
      </c>
      <c r="G66" s="4" t="n">
        <v>235</v>
      </c>
      <c r="H66" s="4">
        <f>F66-G66</f>
        <v/>
      </c>
      <c r="I66" s="5">
        <f>IF(F66&gt;0, H66/F66, 0)</f>
        <v/>
      </c>
      <c r="J66" s="2" t="inlineStr">
        <is>
          <t>Sale</t>
        </is>
      </c>
    </row>
    <row r="67">
      <c r="A67" s="2" t="n">
        <v>66</v>
      </c>
      <c r="B67" s="2" t="inlineStr">
        <is>
          <t>2026-09-16</t>
        </is>
      </c>
      <c r="C67" s="2" t="inlineStr">
        <is>
          <t>DE26030R</t>
        </is>
      </c>
      <c r="D67" s="3" t="n">
        <v>1</v>
      </c>
      <c r="E67" s="4" t="n">
        <v>316.95</v>
      </c>
      <c r="F67" s="4">
        <f>D67*E67</f>
        <v/>
      </c>
      <c r="G67" s="4" t="n">
        <v>205</v>
      </c>
      <c r="H67" s="4">
        <f>F67-G67</f>
        <v/>
      </c>
      <c r="I67" s="5">
        <f>IF(F67&gt;0, H67/F67, 0)</f>
        <v/>
      </c>
      <c r="J67" s="2" t="inlineStr">
        <is>
          <t>Sale</t>
        </is>
      </c>
    </row>
    <row r="68">
      <c r="A68" s="2" t="n">
        <v>67</v>
      </c>
      <c r="B68" s="2" t="inlineStr">
        <is>
          <t>2026-09-17</t>
        </is>
      </c>
      <c r="C68" s="2" t="inlineStr">
        <is>
          <t>DE26002N</t>
        </is>
      </c>
      <c r="D68" s="3" t="n">
        <v>1</v>
      </c>
      <c r="E68" s="4" t="n">
        <v>343.8</v>
      </c>
      <c r="F68" s="4">
        <f>D68*E68</f>
        <v/>
      </c>
      <c r="G68" s="4" t="n">
        <v>235</v>
      </c>
      <c r="H68" s="4">
        <f>F68-G68</f>
        <v/>
      </c>
      <c r="I68" s="5">
        <f>IF(F68&gt;0, H68/F68, 0)</f>
        <v/>
      </c>
      <c r="J68" s="2" t="inlineStr">
        <is>
          <t>Sale</t>
        </is>
      </c>
    </row>
    <row r="69">
      <c r="A69" s="2" t="n">
        <v>68</v>
      </c>
      <c r="B69" s="2" t="inlineStr">
        <is>
          <t>2026-09-17</t>
        </is>
      </c>
      <c r="C69" s="2" t="inlineStr">
        <is>
          <t>DE26050B</t>
        </is>
      </c>
      <c r="D69" s="3" t="n">
        <v>1</v>
      </c>
      <c r="E69" s="4" t="n">
        <v>336.84</v>
      </c>
      <c r="F69" s="4">
        <f>D69*E69</f>
        <v/>
      </c>
      <c r="G69" s="4" t="n">
        <v>235</v>
      </c>
      <c r="H69" s="4">
        <f>F69-G69</f>
        <v/>
      </c>
      <c r="I69" s="5">
        <f>IF(F69&gt;0, H69/F69, 0)</f>
        <v/>
      </c>
      <c r="J69" s="2" t="inlineStr">
        <is>
          <t>Sale</t>
        </is>
      </c>
    </row>
    <row r="70">
      <c r="A70" s="2" t="n">
        <v>69</v>
      </c>
      <c r="B70" s="2" t="inlineStr">
        <is>
          <t>2026-09-17</t>
        </is>
      </c>
      <c r="C70" s="2" t="inlineStr">
        <is>
          <t>DE26002R</t>
        </is>
      </c>
      <c r="D70" s="3" t="n">
        <v>1</v>
      </c>
      <c r="E70" s="4" t="n">
        <v>366.3</v>
      </c>
      <c r="F70" s="4">
        <f>D70*E70</f>
        <v/>
      </c>
      <c r="G70" s="4" t="n">
        <v>235</v>
      </c>
      <c r="H70" s="4">
        <f>F70-G70</f>
        <v/>
      </c>
      <c r="I70" s="5">
        <f>IF(F70&gt;0, H70/F70, 0)</f>
        <v/>
      </c>
      <c r="J70" s="2" t="inlineStr">
        <is>
          <t>Sale</t>
        </is>
      </c>
    </row>
    <row r="71">
      <c r="A71" s="2" t="n">
        <v>70</v>
      </c>
      <c r="B71" s="2" t="inlineStr">
        <is>
          <t>2026-09-18</t>
        </is>
      </c>
      <c r="C71" s="2" t="inlineStr">
        <is>
          <t>DE26002R</t>
        </is>
      </c>
      <c r="D71" s="3" t="n">
        <v>1</v>
      </c>
      <c r="E71" s="4" t="n">
        <v>333.76</v>
      </c>
      <c r="F71" s="4">
        <f>D71*E71</f>
        <v/>
      </c>
      <c r="G71" s="4" t="n">
        <v>235</v>
      </c>
      <c r="H71" s="4">
        <f>F71-G71</f>
        <v/>
      </c>
      <c r="I71" s="5">
        <f>IF(F71&gt;0, H71/F71, 0)</f>
        <v/>
      </c>
      <c r="J71" s="2" t="inlineStr">
        <is>
          <t>Sale</t>
        </is>
      </c>
    </row>
    <row r="72">
      <c r="A72" s="2" t="n">
        <v>71</v>
      </c>
      <c r="B72" s="2" t="inlineStr">
        <is>
          <t>2026-09-18</t>
        </is>
      </c>
      <c r="C72" s="2" t="inlineStr">
        <is>
          <t>DE26009G</t>
        </is>
      </c>
      <c r="D72" s="3" t="n">
        <v>1</v>
      </c>
      <c r="E72" s="4" t="n">
        <v>306.01</v>
      </c>
      <c r="F72" s="4">
        <f>D72*E72</f>
        <v/>
      </c>
      <c r="G72" s="4" t="n">
        <v>225</v>
      </c>
      <c r="H72" s="4">
        <f>F72-G72</f>
        <v/>
      </c>
      <c r="I72" s="5">
        <f>IF(F72&gt;0, H72/F72, 0)</f>
        <v/>
      </c>
      <c r="J72" s="2" t="inlineStr">
        <is>
          <t>Sale</t>
        </is>
      </c>
    </row>
    <row r="73">
      <c r="A73" s="2" t="n">
        <v>72</v>
      </c>
      <c r="B73" s="2" t="inlineStr">
        <is>
          <t>2026-09-18</t>
        </is>
      </c>
      <c r="C73" s="2" t="inlineStr">
        <is>
          <t>DE26050B</t>
        </is>
      </c>
      <c r="D73" s="3" t="n">
        <v>1</v>
      </c>
      <c r="E73" s="4" t="n">
        <v>338.08</v>
      </c>
      <c r="F73" s="4">
        <f>D73*E73</f>
        <v/>
      </c>
      <c r="G73" s="4" t="n">
        <v>235</v>
      </c>
      <c r="H73" s="4">
        <f>F73-G73</f>
        <v/>
      </c>
      <c r="I73" s="5">
        <f>IF(F73&gt;0, H73/F73, 0)</f>
        <v/>
      </c>
      <c r="J73" s="2" t="inlineStr">
        <is>
          <t>Sale</t>
        </is>
      </c>
    </row>
    <row r="74">
      <c r="A74" s="2" t="n">
        <v>73</v>
      </c>
      <c r="B74" s="2" t="inlineStr">
        <is>
          <t>2026-09-18</t>
        </is>
      </c>
      <c r="C74" s="2" t="inlineStr">
        <is>
          <t>DE26077R</t>
        </is>
      </c>
      <c r="D74" s="3" t="n">
        <v>1</v>
      </c>
      <c r="E74" s="4" t="n">
        <v>317.57</v>
      </c>
      <c r="F74" s="4">
        <f>D74*E74</f>
        <v/>
      </c>
      <c r="G74" s="4" t="n">
        <v>220</v>
      </c>
      <c r="H74" s="4">
        <f>F74-G74</f>
        <v/>
      </c>
      <c r="I74" s="5">
        <f>IF(F74&gt;0, H74/F74, 0)</f>
        <v/>
      </c>
      <c r="J74" s="2" t="inlineStr">
        <is>
          <t>Sale</t>
        </is>
      </c>
    </row>
    <row r="75">
      <c r="A75" s="2" t="n">
        <v>74</v>
      </c>
      <c r="B75" s="2" t="inlineStr">
        <is>
          <t>2026-09-18</t>
        </is>
      </c>
      <c r="C75" s="2" t="inlineStr">
        <is>
          <t>DE26081M</t>
        </is>
      </c>
      <c r="D75" s="3" t="n">
        <v>1</v>
      </c>
      <c r="E75" s="4" t="n">
        <v>315.67</v>
      </c>
      <c r="F75" s="4">
        <f>D75*E75</f>
        <v/>
      </c>
      <c r="G75" s="4" t="n">
        <v>235</v>
      </c>
      <c r="H75" s="4">
        <f>F75-G75</f>
        <v/>
      </c>
      <c r="I75" s="5">
        <f>IF(F75&gt;0, H75/F75, 0)</f>
        <v/>
      </c>
      <c r="J75" s="2" t="inlineStr">
        <is>
          <t>Sale</t>
        </is>
      </c>
    </row>
    <row r="76">
      <c r="A76" s="2" t="n">
        <v>75</v>
      </c>
      <c r="B76" s="2" t="inlineStr">
        <is>
          <t>2026-09-19</t>
        </is>
      </c>
      <c r="C76" s="2" t="inlineStr">
        <is>
          <t>DE26002R</t>
        </is>
      </c>
      <c r="D76" s="3" t="n">
        <v>2</v>
      </c>
      <c r="E76" s="4" t="n">
        <v>366.84</v>
      </c>
      <c r="F76" s="4">
        <f>D76*E76</f>
        <v/>
      </c>
      <c r="G76" s="4" t="n">
        <v>470</v>
      </c>
      <c r="H76" s="4">
        <f>F76-G76</f>
        <v/>
      </c>
      <c r="I76" s="5">
        <f>IF(F76&gt;0, H76/F76, 0)</f>
        <v/>
      </c>
      <c r="J76" s="2" t="inlineStr">
        <is>
          <t>Sale</t>
        </is>
      </c>
    </row>
    <row r="77">
      <c r="A77" s="2" t="n">
        <v>76</v>
      </c>
      <c r="B77" s="2" t="inlineStr">
        <is>
          <t>2026-09-19</t>
        </is>
      </c>
      <c r="C77" s="2" t="inlineStr">
        <is>
          <t>DE26003W</t>
        </is>
      </c>
      <c r="D77" s="3" t="n">
        <v>2</v>
      </c>
      <c r="E77" s="4" t="n">
        <v>326</v>
      </c>
      <c r="F77" s="4">
        <f>D77*E77</f>
        <v/>
      </c>
      <c r="G77" s="4" t="n">
        <v>438</v>
      </c>
      <c r="H77" s="4">
        <f>F77-G77</f>
        <v/>
      </c>
      <c r="I77" s="5">
        <f>IF(F77&gt;0, H77/F77, 0)</f>
        <v/>
      </c>
      <c r="J77" s="2" t="inlineStr">
        <is>
          <t>Sale</t>
        </is>
      </c>
    </row>
    <row r="78">
      <c r="A78" s="2" t="n">
        <v>77</v>
      </c>
      <c r="B78" s="2" t="inlineStr">
        <is>
          <t>2026-09-19</t>
        </is>
      </c>
      <c r="C78" s="2" t="inlineStr">
        <is>
          <t>DE26006R</t>
        </is>
      </c>
      <c r="D78" s="3" t="n">
        <v>1</v>
      </c>
      <c r="E78" s="4" t="n">
        <v>337.71</v>
      </c>
      <c r="F78" s="4">
        <f>D78*E78</f>
        <v/>
      </c>
      <c r="G78" s="4" t="n">
        <v>235</v>
      </c>
      <c r="H78" s="4">
        <f>F78-G78</f>
        <v/>
      </c>
      <c r="I78" s="5">
        <f>IF(F78&gt;0, H78/F78, 0)</f>
        <v/>
      </c>
      <c r="J78" s="2" t="inlineStr">
        <is>
          <t>Sale</t>
        </is>
      </c>
    </row>
    <row r="79">
      <c r="A79" s="2" t="n">
        <v>78</v>
      </c>
      <c r="B79" s="2" t="inlineStr">
        <is>
          <t>2026-09-19</t>
        </is>
      </c>
      <c r="C79" s="2" t="inlineStr">
        <is>
          <t>DE26009B</t>
        </is>
      </c>
      <c r="D79" s="3" t="n">
        <v>1</v>
      </c>
      <c r="E79" s="4" t="n">
        <v>328.01</v>
      </c>
      <c r="F79" s="4">
        <f>D79*E79</f>
        <v/>
      </c>
      <c r="G79" s="4" t="n">
        <v>225</v>
      </c>
      <c r="H79" s="4">
        <f>F79-G79</f>
        <v/>
      </c>
      <c r="I79" s="5">
        <f>IF(F79&gt;0, H79/F79, 0)</f>
        <v/>
      </c>
      <c r="J79" s="2" t="inlineStr">
        <is>
          <t>Sale</t>
        </is>
      </c>
    </row>
    <row r="80">
      <c r="A80" s="2" t="n">
        <v>79</v>
      </c>
      <c r="B80" s="2" t="inlineStr">
        <is>
          <t>2026-09-21</t>
        </is>
      </c>
      <c r="C80" s="2" t="inlineStr">
        <is>
          <t>DE26009Y</t>
        </is>
      </c>
      <c r="D80" s="3" t="n">
        <v>1</v>
      </c>
      <c r="E80" s="4" t="n">
        <v>294.62</v>
      </c>
      <c r="F80" s="4">
        <f>D80*E80</f>
        <v/>
      </c>
      <c r="G80" s="4" t="n">
        <v>225</v>
      </c>
      <c r="H80" s="4">
        <f>F80-G80</f>
        <v/>
      </c>
      <c r="I80" s="5">
        <f>IF(F80&gt;0, H80/F80, 0)</f>
        <v/>
      </c>
      <c r="J80" s="2" t="inlineStr">
        <is>
          <t>Sale</t>
        </is>
      </c>
    </row>
    <row r="81">
      <c r="A81" s="2" t="n">
        <v>80</v>
      </c>
      <c r="B81" s="2" t="inlineStr">
        <is>
          <t>2026-09-21</t>
        </is>
      </c>
      <c r="C81" s="2" t="inlineStr">
        <is>
          <t>DE26077R</t>
        </is>
      </c>
      <c r="D81" s="3" t="n">
        <v>1</v>
      </c>
      <c r="E81" s="4" t="n">
        <v>286.25</v>
      </c>
      <c r="F81" s="4">
        <f>D81*E81</f>
        <v/>
      </c>
      <c r="G81" s="4" t="n">
        <v>220</v>
      </c>
      <c r="H81" s="4">
        <f>F81-G81</f>
        <v/>
      </c>
      <c r="I81" s="5">
        <f>IF(F81&gt;0, H81/F81, 0)</f>
        <v/>
      </c>
      <c r="J81" s="2" t="inlineStr">
        <is>
          <t>Sale</t>
        </is>
      </c>
    </row>
    <row r="82">
      <c r="A82" s="2" t="n">
        <v>81</v>
      </c>
      <c r="B82" s="2" t="inlineStr">
        <is>
          <t>2026-09-21</t>
        </is>
      </c>
      <c r="C82" s="2" t="inlineStr">
        <is>
          <t>DE26077Y</t>
        </is>
      </c>
      <c r="D82" s="3" t="n">
        <v>1</v>
      </c>
      <c r="E82" s="4" t="n">
        <v>287.22</v>
      </c>
      <c r="F82" s="4">
        <f>D82*E82</f>
        <v/>
      </c>
      <c r="G82" s="4" t="n">
        <v>220</v>
      </c>
      <c r="H82" s="4">
        <f>F82-G82</f>
        <v/>
      </c>
      <c r="I82" s="5">
        <f>IF(F82&gt;0, H82/F82, 0)</f>
        <v/>
      </c>
      <c r="J82" s="2" t="inlineStr">
        <is>
          <t>Sale</t>
        </is>
      </c>
    </row>
    <row r="83">
      <c r="A83" s="2" t="n">
        <v>82</v>
      </c>
      <c r="B83" s="2" t="inlineStr">
        <is>
          <t>2026-09-22</t>
        </is>
      </c>
      <c r="C83" s="2" t="inlineStr">
        <is>
          <t>DE26002N</t>
        </is>
      </c>
      <c r="D83" s="3" t="n">
        <v>1</v>
      </c>
      <c r="E83" s="4" t="n">
        <v>365.53</v>
      </c>
      <c r="F83" s="4">
        <f>D83*E83</f>
        <v/>
      </c>
      <c r="G83" s="4" t="n">
        <v>235</v>
      </c>
      <c r="H83" s="4">
        <f>F83-G83</f>
        <v/>
      </c>
      <c r="I83" s="5">
        <f>IF(F83&gt;0, H83/F83, 0)</f>
        <v/>
      </c>
      <c r="J83" s="2" t="inlineStr">
        <is>
          <t>Sale</t>
        </is>
      </c>
    </row>
    <row r="84">
      <c r="A84" s="2" t="n">
        <v>83</v>
      </c>
      <c r="B84" s="2" t="inlineStr">
        <is>
          <t>2026-09-22</t>
        </is>
      </c>
      <c r="C84" s="2" t="inlineStr">
        <is>
          <t>DE26007N</t>
        </is>
      </c>
      <c r="D84" s="3" t="n">
        <v>1</v>
      </c>
      <c r="E84" s="4" t="n">
        <v>302.73</v>
      </c>
      <c r="F84" s="4">
        <f>D84*E84</f>
        <v/>
      </c>
      <c r="G84" s="4" t="n">
        <v>235</v>
      </c>
      <c r="H84" s="4">
        <f>F84-G84</f>
        <v/>
      </c>
      <c r="I84" s="5">
        <f>IF(F84&gt;0, H84/F84, 0)</f>
        <v/>
      </c>
      <c r="J84" s="2" t="inlineStr">
        <is>
          <t>Sale</t>
        </is>
      </c>
    </row>
    <row r="85">
      <c r="A85" s="2" t="n">
        <v>84</v>
      </c>
      <c r="B85" s="2" t="inlineStr">
        <is>
          <t>2026-09-22</t>
        </is>
      </c>
      <c r="C85" s="2" t="inlineStr">
        <is>
          <t>DE26009G</t>
        </is>
      </c>
      <c r="D85" s="3" t="n">
        <v>1</v>
      </c>
      <c r="E85" s="4" t="n">
        <v>295.66</v>
      </c>
      <c r="F85" s="4">
        <f>D85*E85</f>
        <v/>
      </c>
      <c r="G85" s="4" t="n">
        <v>225</v>
      </c>
      <c r="H85" s="4">
        <f>F85-G85</f>
        <v/>
      </c>
      <c r="I85" s="5">
        <f>IF(F85&gt;0, H85/F85, 0)</f>
        <v/>
      </c>
      <c r="J85" s="2" t="inlineStr">
        <is>
          <t>Sale</t>
        </is>
      </c>
    </row>
    <row r="86">
      <c r="A86" s="2" t="n">
        <v>85</v>
      </c>
      <c r="B86" s="2" t="inlineStr">
        <is>
          <t>2026-09-22</t>
        </is>
      </c>
      <c r="C86" s="2" t="inlineStr">
        <is>
          <t>DE26077N</t>
        </is>
      </c>
      <c r="D86" s="3" t="n">
        <v>1</v>
      </c>
      <c r="E86" s="4" t="n">
        <v>283.69</v>
      </c>
      <c r="F86" s="4">
        <f>D86*E86</f>
        <v/>
      </c>
      <c r="G86" s="4" t="n">
        <v>220</v>
      </c>
      <c r="H86" s="4">
        <f>F86-G86</f>
        <v/>
      </c>
      <c r="I86" s="5">
        <f>IF(F86&gt;0, H86/F86, 0)</f>
        <v/>
      </c>
      <c r="J86" s="2" t="inlineStr">
        <is>
          <t>Sale</t>
        </is>
      </c>
    </row>
    <row r="87">
      <c r="A87" s="2" t="n">
        <v>86</v>
      </c>
      <c r="B87" s="2" t="inlineStr">
        <is>
          <t>2026-09-23</t>
        </is>
      </c>
      <c r="C87" s="2" t="inlineStr">
        <is>
          <t>DE26005N</t>
        </is>
      </c>
      <c r="D87" s="3" t="n">
        <v>1</v>
      </c>
      <c r="E87" s="4" t="n">
        <v>304.28</v>
      </c>
      <c r="F87" s="4">
        <f>D87*E87</f>
        <v/>
      </c>
      <c r="G87" s="4" t="n">
        <v>235</v>
      </c>
      <c r="H87" s="4">
        <f>F87-G87</f>
        <v/>
      </c>
      <c r="I87" s="5">
        <f>IF(F87&gt;0, H87/F87, 0)</f>
        <v/>
      </c>
      <c r="J87" s="2" t="inlineStr">
        <is>
          <t>Sale</t>
        </is>
      </c>
    </row>
    <row r="88">
      <c r="A88" s="2" t="n">
        <v>87</v>
      </c>
      <c r="B88" s="2" t="inlineStr">
        <is>
          <t>2026-09-23</t>
        </is>
      </c>
      <c r="C88" s="2" t="inlineStr">
        <is>
          <t>DE26077R</t>
        </is>
      </c>
      <c r="D88" s="3" t="n">
        <v>1</v>
      </c>
      <c r="E88" s="4" t="n">
        <v>318.53</v>
      </c>
      <c r="F88" s="4">
        <f>D88*E88</f>
        <v/>
      </c>
      <c r="G88" s="4" t="n">
        <v>220</v>
      </c>
      <c r="H88" s="4">
        <f>F88-G88</f>
        <v/>
      </c>
      <c r="I88" s="5">
        <f>IF(F88&gt;0, H88/F88, 0)</f>
        <v/>
      </c>
      <c r="J88" s="2" t="inlineStr">
        <is>
          <t>Sale</t>
        </is>
      </c>
    </row>
    <row r="89">
      <c r="A89" s="2" t="n">
        <v>88</v>
      </c>
      <c r="B89" s="2" t="inlineStr">
        <is>
          <t>2026-09-24</t>
        </is>
      </c>
      <c r="C89" s="2" t="inlineStr">
        <is>
          <t>DE26016R</t>
        </is>
      </c>
      <c r="D89" s="3" t="n">
        <v>1</v>
      </c>
      <c r="E89" s="4" t="n">
        <v>292.51</v>
      </c>
      <c r="F89" s="4">
        <f>D89*E89</f>
        <v/>
      </c>
      <c r="G89" s="4" t="n">
        <v>235</v>
      </c>
      <c r="H89" s="4">
        <f>F89-G89</f>
        <v/>
      </c>
      <c r="I89" s="5">
        <f>IF(F89&gt;0, H89/F89, 0)</f>
        <v/>
      </c>
      <c r="J89" s="2" t="inlineStr">
        <is>
          <t>Sale</t>
        </is>
      </c>
    </row>
    <row r="90">
      <c r="A90" s="2" t="n">
        <v>89</v>
      </c>
      <c r="B90" s="2" t="inlineStr">
        <is>
          <t>2026-09-24</t>
        </is>
      </c>
      <c r="C90" s="2" t="inlineStr">
        <is>
          <t>DE26077Y</t>
        </is>
      </c>
      <c r="D90" s="3" t="n">
        <v>1</v>
      </c>
      <c r="E90" s="4" t="n">
        <v>297.2</v>
      </c>
      <c r="F90" s="4">
        <f>D90*E90</f>
        <v/>
      </c>
      <c r="G90" s="4" t="n">
        <v>220</v>
      </c>
      <c r="H90" s="4">
        <f>F90-G90</f>
        <v/>
      </c>
      <c r="I90" s="5">
        <f>IF(F90&gt;0, H90/F90, 0)</f>
        <v/>
      </c>
      <c r="J90" s="2" t="inlineStr">
        <is>
          <t>Sale</t>
        </is>
      </c>
    </row>
    <row r="91">
      <c r="A91" s="2" t="n">
        <v>90</v>
      </c>
      <c r="B91" s="2" t="inlineStr">
        <is>
          <t>2026-09-24</t>
        </is>
      </c>
      <c r="C91" s="2" t="inlineStr">
        <is>
          <t>DE26077R</t>
        </is>
      </c>
      <c r="D91" s="3" t="n">
        <v>2</v>
      </c>
      <c r="E91" s="4" t="n">
        <v>297.32</v>
      </c>
      <c r="F91" s="4">
        <f>D91*E91</f>
        <v/>
      </c>
      <c r="G91" s="4" t="n">
        <v>440</v>
      </c>
      <c r="H91" s="4">
        <f>F91-G91</f>
        <v/>
      </c>
      <c r="I91" s="5">
        <f>IF(F91&gt;0, H91/F91, 0)</f>
        <v/>
      </c>
      <c r="J91" s="2" t="inlineStr">
        <is>
          <t>Sale</t>
        </is>
      </c>
    </row>
    <row r="92">
      <c r="A92" s="2" t="n">
        <v>91</v>
      </c>
      <c r="B92" s="2" t="inlineStr">
        <is>
          <t>2026-09-25</t>
        </is>
      </c>
      <c r="C92" s="2" t="inlineStr">
        <is>
          <t>DE26002R</t>
        </is>
      </c>
      <c r="D92" s="3" t="n">
        <v>1</v>
      </c>
      <c r="E92" s="4" t="n">
        <v>366.43</v>
      </c>
      <c r="F92" s="4">
        <f>D92*E92</f>
        <v/>
      </c>
      <c r="G92" s="4" t="n">
        <v>235</v>
      </c>
      <c r="H92" s="4">
        <f>F92-G92</f>
        <v/>
      </c>
      <c r="I92" s="5">
        <f>IF(F92&gt;0, H92/F92, 0)</f>
        <v/>
      </c>
      <c r="J92" s="2" t="inlineStr">
        <is>
          <t>Sale</t>
        </is>
      </c>
    </row>
    <row r="93">
      <c r="A93" s="2" t="n">
        <v>92</v>
      </c>
      <c r="B93" s="2" t="inlineStr">
        <is>
          <t>2026-09-25</t>
        </is>
      </c>
      <c r="C93" s="2" t="inlineStr">
        <is>
          <t>DE26009B</t>
        </is>
      </c>
      <c r="D93" s="3" t="n">
        <v>1</v>
      </c>
      <c r="E93" s="4" t="n">
        <v>305.08</v>
      </c>
      <c r="F93" s="4">
        <f>D93*E93</f>
        <v/>
      </c>
      <c r="G93" s="4" t="n">
        <v>225</v>
      </c>
      <c r="H93" s="4">
        <f>F93-G93</f>
        <v/>
      </c>
      <c r="I93" s="5">
        <f>IF(F93&gt;0, H93/F93, 0)</f>
        <v/>
      </c>
      <c r="J93" s="2" t="inlineStr">
        <is>
          <t>Sale</t>
        </is>
      </c>
    </row>
    <row r="94">
      <c r="A94" s="2" t="n">
        <v>93</v>
      </c>
      <c r="B94" s="2" t="inlineStr">
        <is>
          <t>2026-09-25</t>
        </is>
      </c>
      <c r="C94" s="2" t="inlineStr">
        <is>
          <t>DE26030B</t>
        </is>
      </c>
      <c r="D94" s="3" t="n">
        <v>1</v>
      </c>
      <c r="E94" s="4" t="n">
        <v>291.97</v>
      </c>
      <c r="F94" s="4">
        <f>D94*E94</f>
        <v/>
      </c>
      <c r="G94" s="4" t="n">
        <v>205</v>
      </c>
      <c r="H94" s="4">
        <f>F94-G94</f>
        <v/>
      </c>
      <c r="I94" s="5">
        <f>IF(F94&gt;0, H94/F94, 0)</f>
        <v/>
      </c>
      <c r="J94" s="2" t="inlineStr">
        <is>
          <t>Sale</t>
        </is>
      </c>
    </row>
    <row r="95">
      <c r="A95" s="2" t="n">
        <v>94</v>
      </c>
      <c r="B95" s="2" t="inlineStr">
        <is>
          <t>2026-09-25</t>
        </is>
      </c>
      <c r="C95" s="2" t="inlineStr">
        <is>
          <t>DE26009G</t>
        </is>
      </c>
      <c r="D95" s="3" t="n">
        <v>1</v>
      </c>
      <c r="E95" s="4" t="n">
        <v>305.27</v>
      </c>
      <c r="F95" s="4">
        <f>D95*E95</f>
        <v/>
      </c>
      <c r="G95" s="4" t="n">
        <v>225</v>
      </c>
      <c r="H95" s="4">
        <f>F95-G95</f>
        <v/>
      </c>
      <c r="I95" s="5">
        <f>IF(F95&gt;0, H95/F95, 0)</f>
        <v/>
      </c>
      <c r="J95" s="2" t="inlineStr">
        <is>
          <t>Sale</t>
        </is>
      </c>
    </row>
    <row r="96">
      <c r="A96" s="2" t="n">
        <v>95</v>
      </c>
      <c r="B96" s="2" t="inlineStr">
        <is>
          <t>2026-09-26</t>
        </is>
      </c>
      <c r="C96" s="2" t="inlineStr">
        <is>
          <t>DE26063B</t>
        </is>
      </c>
      <c r="D96" s="3" t="n">
        <v>1</v>
      </c>
      <c r="E96" s="4" t="n">
        <v>298.04</v>
      </c>
      <c r="F96" s="4">
        <f>D96*E96</f>
        <v/>
      </c>
      <c r="G96" s="4" t="n">
        <v>219</v>
      </c>
      <c r="H96" s="4">
        <f>F96-G96</f>
        <v/>
      </c>
      <c r="I96" s="5">
        <f>IF(F96&gt;0, H96/F96, 0)</f>
        <v/>
      </c>
      <c r="J96" s="2" t="inlineStr">
        <is>
          <t>Sale</t>
        </is>
      </c>
    </row>
    <row r="97">
      <c r="A97" s="6" t="inlineStr">
        <is>
          <t>Total Summary</t>
        </is>
      </c>
      <c r="B97" s="6" t="inlineStr"/>
      <c r="C97" s="6" t="inlineStr"/>
      <c r="D97" s="7">
        <f>SUM(D2:D96)</f>
        <v/>
      </c>
      <c r="E97" s="6" t="inlineStr"/>
      <c r="F97" s="8">
        <f>SUM(F2:F96)</f>
        <v/>
      </c>
      <c r="G97" s="8">
        <f>SUM(G2:G96)</f>
        <v/>
      </c>
      <c r="H97" s="8">
        <f>SUM(H2:H96)</f>
        <v/>
      </c>
      <c r="I97" s="9">
        <f>IF(F97&gt;0, H97/F97, 0)</f>
        <v/>
      </c>
      <c r="J97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18" customWidth="1" min="4" max="4"/>
    <col width="16" customWidth="1" min="5" max="5"/>
    <col width="17" customWidth="1" min="6" max="6"/>
    <col width="17" customWidth="1" min="7" max="7"/>
    <col width="17" customWidth="1" min="8" max="8"/>
    <col width="23" customWidth="1" min="9" max="9"/>
    <col width="22" customWidth="1" min="10" max="10"/>
    <col width="91" customWidth="1" min="11" max="11"/>
  </cols>
  <sheetData>
    <row r="1">
      <c r="A1" s="1" t="inlineStr">
        <is>
          <t>Style No.</t>
        </is>
      </c>
      <c r="B1" s="1" t="inlineStr">
        <is>
          <t>Total Purchased</t>
        </is>
      </c>
      <c r="C1" s="1" t="inlineStr">
        <is>
          <t>Total Sold</t>
        </is>
      </c>
      <c r="D1" s="1" t="inlineStr">
        <is>
          <t>In-Transit RTO</t>
        </is>
      </c>
      <c r="E1" s="1" t="inlineStr">
        <is>
          <t>RTO Holding</t>
        </is>
      </c>
      <c r="F1" s="1" t="inlineStr">
        <is>
          <t>Restocked RTO</t>
        </is>
      </c>
      <c r="G1" s="1" t="inlineStr">
        <is>
          <t>Stock on Hand</t>
        </is>
      </c>
      <c r="H1" s="1" t="inlineStr">
        <is>
          <t>Unit Cost ($)</t>
        </is>
      </c>
      <c r="I1" s="1" t="inlineStr">
        <is>
          <t>Stock Valuation ($)</t>
        </is>
      </c>
      <c r="J1" s="1" t="inlineStr">
        <is>
          <t>Total Profit ($)</t>
        </is>
      </c>
      <c r="K1" s="1" t="inlineStr">
        <is>
          <t>Status</t>
        </is>
      </c>
    </row>
    <row r="2">
      <c r="A2" s="2" t="inlineStr">
        <is>
          <t>DE26001G</t>
        </is>
      </c>
      <c r="B2" s="3" t="n">
        <v>17</v>
      </c>
      <c r="C2" s="3" t="n">
        <v>2</v>
      </c>
      <c r="D2" s="3" t="n">
        <v>0</v>
      </c>
      <c r="E2" s="3" t="n">
        <v>1</v>
      </c>
      <c r="F2" s="3" t="n">
        <v>0</v>
      </c>
      <c r="G2" s="3">
        <f>B2-C2+F2</f>
        <v/>
      </c>
      <c r="H2" s="4" t="n">
        <v>219</v>
      </c>
      <c r="I2" s="4">
        <f>G2*H2</f>
        <v/>
      </c>
      <c r="J2" s="4" t="n">
        <v>142.57</v>
      </c>
      <c r="K2" s="2">
        <f>IF(G2&gt;10, "In Stock", IF(G2&gt;0, "Low Stock", IF(G2=0, "Out of Stock", "Over Sold")))</f>
        <v/>
      </c>
    </row>
    <row r="3">
      <c r="A3" s="2" t="inlineStr">
        <is>
          <t>DE26001P</t>
        </is>
      </c>
      <c r="B3" s="3" t="n">
        <v>7</v>
      </c>
      <c r="C3" s="3" t="n">
        <v>0</v>
      </c>
      <c r="D3" s="3" t="n">
        <v>0</v>
      </c>
      <c r="E3" s="3" t="n">
        <v>0</v>
      </c>
      <c r="F3" s="3" t="n">
        <v>0</v>
      </c>
      <c r="G3" s="3">
        <f>B3-C3+F3</f>
        <v/>
      </c>
      <c r="H3" s="4" t="n">
        <v>219</v>
      </c>
      <c r="I3" s="4">
        <f>G3*H3</f>
        <v/>
      </c>
      <c r="J3" s="4" t="n">
        <v>0</v>
      </c>
      <c r="K3" s="2">
        <f>IF(G3&gt;10, "In Stock", IF(G3&gt;0, "Low Stock", IF(G3=0, "Out of Stock", "Over Sold")))</f>
        <v/>
      </c>
    </row>
    <row r="4">
      <c r="A4" s="2" t="inlineStr">
        <is>
          <t>DE26001R</t>
        </is>
      </c>
      <c r="B4" s="3" t="n">
        <v>6</v>
      </c>
      <c r="C4" s="3" t="n">
        <v>0</v>
      </c>
      <c r="D4" s="3" t="n">
        <v>0</v>
      </c>
      <c r="E4" s="3" t="n">
        <v>0</v>
      </c>
      <c r="F4" s="3" t="n">
        <v>0</v>
      </c>
      <c r="G4" s="3">
        <f>B4-C4+F4</f>
        <v/>
      </c>
      <c r="H4" s="4" t="n">
        <v>219</v>
      </c>
      <c r="I4" s="4">
        <f>G4*H4</f>
        <v/>
      </c>
      <c r="J4" s="4" t="n">
        <v>0</v>
      </c>
      <c r="K4" s="2">
        <f>IF(G4&gt;10, "In Stock", IF(G4&gt;0, "Low Stock", IF(G4=0, "Out of Stock", "Over Sold")))</f>
        <v/>
      </c>
    </row>
    <row r="5">
      <c r="A5" s="2" t="inlineStr">
        <is>
          <t>DE26001Y</t>
        </is>
      </c>
      <c r="B5" s="3" t="n">
        <v>6</v>
      </c>
      <c r="C5" s="3" t="n">
        <v>1</v>
      </c>
      <c r="D5" s="3" t="n">
        <v>1</v>
      </c>
      <c r="E5" s="3" t="n">
        <v>0</v>
      </c>
      <c r="F5" s="3" t="n">
        <v>0</v>
      </c>
      <c r="G5" s="3">
        <f>B5-C5+F5</f>
        <v/>
      </c>
      <c r="H5" s="4" t="n">
        <v>219</v>
      </c>
      <c r="I5" s="4">
        <f>G5*H5</f>
        <v/>
      </c>
      <c r="J5" s="4" t="n">
        <v>79.73</v>
      </c>
      <c r="K5" s="2">
        <f>IF(G5&gt;10, "In Stock", IF(G5&gt;0, "Low Stock", IF(G5=0, "Out of Stock", "Over Sold")))</f>
        <v/>
      </c>
    </row>
    <row r="6">
      <c r="A6" s="2" t="inlineStr">
        <is>
          <t>DE26002M</t>
        </is>
      </c>
      <c r="B6" s="3" t="n">
        <v>11</v>
      </c>
      <c r="C6" s="3" t="n">
        <v>1</v>
      </c>
      <c r="D6" s="3" t="n">
        <v>0</v>
      </c>
      <c r="E6" s="3" t="n">
        <v>0</v>
      </c>
      <c r="F6" s="3" t="n">
        <v>0</v>
      </c>
      <c r="G6" s="3">
        <f>B6-C6+F6</f>
        <v/>
      </c>
      <c r="H6" s="4" t="n">
        <v>235</v>
      </c>
      <c r="I6" s="4">
        <f>G6*H6</f>
        <v/>
      </c>
      <c r="J6" s="4" t="n">
        <v>131.57</v>
      </c>
      <c r="K6" s="2">
        <f>IF(G6&gt;10, "In Stock", IF(G6&gt;0, "Low Stock", IF(G6=0, "Out of Stock", "Over Sold")))</f>
        <v/>
      </c>
    </row>
    <row r="7">
      <c r="A7" s="2" t="inlineStr">
        <is>
          <t>DE26002N</t>
        </is>
      </c>
      <c r="B7" s="3" t="n">
        <v>8</v>
      </c>
      <c r="C7" s="3" t="n">
        <v>3</v>
      </c>
      <c r="D7" s="3" t="n">
        <v>0</v>
      </c>
      <c r="E7" s="3" t="n">
        <v>0</v>
      </c>
      <c r="F7" s="3" t="n">
        <v>0</v>
      </c>
      <c r="G7" s="3">
        <f>B7-C7+F7</f>
        <v/>
      </c>
      <c r="H7" s="4" t="n">
        <v>235</v>
      </c>
      <c r="I7" s="4">
        <f>G7*H7</f>
        <v/>
      </c>
      <c r="J7" s="4" t="n">
        <v>341.42</v>
      </c>
      <c r="K7" s="2">
        <f>IF(G7&gt;10, "In Stock", IF(G7&gt;0, "Low Stock", IF(G7=0, "Out of Stock", "Over Sold")))</f>
        <v/>
      </c>
    </row>
    <row r="8">
      <c r="A8" s="2" t="inlineStr">
        <is>
          <t>DE26002R</t>
        </is>
      </c>
      <c r="B8" s="3" t="n">
        <v>11</v>
      </c>
      <c r="C8" s="3" t="n">
        <v>8</v>
      </c>
      <c r="D8" s="3" t="n">
        <v>0</v>
      </c>
      <c r="E8" s="3" t="n">
        <v>1</v>
      </c>
      <c r="F8" s="3" t="n">
        <v>0</v>
      </c>
      <c r="G8" s="3">
        <f>B8-C8+F8</f>
        <v/>
      </c>
      <c r="H8" s="4" t="n">
        <v>235</v>
      </c>
      <c r="I8" s="4">
        <f>G8*H8</f>
        <v/>
      </c>
      <c r="J8" s="4" t="n">
        <v>939.3000000000001</v>
      </c>
      <c r="K8" s="2">
        <f>IF(G8&gt;10, "In Stock", IF(G8&gt;0, "Low Stock", IF(G8=0, "Out of Stock", "Over Sold")))</f>
        <v/>
      </c>
    </row>
    <row r="9">
      <c r="A9" s="2" t="inlineStr">
        <is>
          <t>DE26003B</t>
        </is>
      </c>
      <c r="B9" s="3" t="n">
        <v>15</v>
      </c>
      <c r="C9" s="3" t="n">
        <v>9</v>
      </c>
      <c r="D9" s="3" t="n">
        <v>0</v>
      </c>
      <c r="E9" s="3" t="n">
        <v>1</v>
      </c>
      <c r="F9" s="3" t="n">
        <v>0</v>
      </c>
      <c r="G9" s="3">
        <f>B9-C9+F9</f>
        <v/>
      </c>
      <c r="H9" s="4" t="n">
        <v>219</v>
      </c>
      <c r="I9" s="4">
        <f>G9*H9</f>
        <v/>
      </c>
      <c r="J9" s="4" t="n">
        <v>912.39</v>
      </c>
      <c r="K9" s="2">
        <f>IF(G9&gt;10, "In Stock", IF(G9&gt;0, "Low Stock", IF(G9=0, "Out of Stock", "Over Sold")))</f>
        <v/>
      </c>
    </row>
    <row r="10">
      <c r="A10" s="2" t="inlineStr">
        <is>
          <t>DE26003W</t>
        </is>
      </c>
      <c r="B10" s="3" t="n">
        <v>30</v>
      </c>
      <c r="C10" s="3" t="n">
        <v>26</v>
      </c>
      <c r="D10" s="3" t="n">
        <v>0</v>
      </c>
      <c r="E10" s="3" t="n">
        <v>2</v>
      </c>
      <c r="F10" s="3" t="n">
        <v>0</v>
      </c>
      <c r="G10" s="3">
        <f>B10-C10+F10</f>
        <v/>
      </c>
      <c r="H10" s="4" t="n">
        <v>219</v>
      </c>
      <c r="I10" s="4">
        <f>G10*H10</f>
        <v/>
      </c>
      <c r="J10" s="4" t="n">
        <v>2399.64</v>
      </c>
      <c r="K10" s="2">
        <f>IF(G10&gt;10, "In Stock", IF(G10&gt;0, "Low Stock", IF(G10=0, "Out of Stock", "Over Sold")))</f>
        <v/>
      </c>
    </row>
    <row r="11">
      <c r="A11" s="2" t="inlineStr">
        <is>
          <t>DE26004N</t>
        </is>
      </c>
      <c r="B11" s="3" t="n">
        <v>6</v>
      </c>
      <c r="C11" s="3" t="n">
        <v>1</v>
      </c>
      <c r="D11" s="3" t="n">
        <v>0</v>
      </c>
      <c r="E11" s="3" t="n">
        <v>0</v>
      </c>
      <c r="F11" s="3" t="n">
        <v>0</v>
      </c>
      <c r="G11" s="3">
        <f>B11-C11+F11</f>
        <v/>
      </c>
      <c r="H11" s="4" t="n">
        <v>219</v>
      </c>
      <c r="I11" s="4">
        <f>G11*H11</f>
        <v/>
      </c>
      <c r="J11" s="4" t="n">
        <v>66.90000000000001</v>
      </c>
      <c r="K11" s="2">
        <f>IF(G11&gt;10, "In Stock", IF(G11&gt;0, "Low Stock", IF(G11=0, "Out of Stock", "Over Sold")))</f>
        <v/>
      </c>
    </row>
    <row r="12">
      <c r="A12" s="2" t="inlineStr">
        <is>
          <t>DE26004R</t>
        </is>
      </c>
      <c r="B12" s="3" t="n">
        <v>12</v>
      </c>
      <c r="C12" s="3" t="n">
        <v>3</v>
      </c>
      <c r="D12" s="3" t="n">
        <v>0</v>
      </c>
      <c r="E12" s="3" t="n">
        <v>0</v>
      </c>
      <c r="F12" s="3" t="n">
        <v>0</v>
      </c>
      <c r="G12" s="3">
        <f>B12-C12+F12</f>
        <v/>
      </c>
      <c r="H12" s="4" t="n">
        <v>219</v>
      </c>
      <c r="I12" s="4">
        <f>G12*H12</f>
        <v/>
      </c>
      <c r="J12" s="4" t="n">
        <v>72.88000000000001</v>
      </c>
      <c r="K12" s="2">
        <f>IF(G12&gt;10, "In Stock", IF(G12&gt;0, "Low Stock", IF(G12=0, "Out of Stock", "Over Sold")))</f>
        <v/>
      </c>
    </row>
    <row r="13">
      <c r="A13" s="2" t="inlineStr">
        <is>
          <t>DE26004Y</t>
        </is>
      </c>
      <c r="B13" s="3" t="n">
        <v>6</v>
      </c>
      <c r="C13" s="3" t="n">
        <v>1</v>
      </c>
      <c r="D13" s="3" t="n">
        <v>0</v>
      </c>
      <c r="E13" s="3" t="n">
        <v>0</v>
      </c>
      <c r="F13" s="3" t="n">
        <v>0</v>
      </c>
      <c r="G13" s="3">
        <f>B13-C13+F13</f>
        <v/>
      </c>
      <c r="H13" s="4" t="n">
        <v>219</v>
      </c>
      <c r="I13" s="4">
        <f>G13*H13</f>
        <v/>
      </c>
      <c r="J13" s="4" t="n">
        <v>87.27</v>
      </c>
      <c r="K13" s="2">
        <f>IF(G13&gt;10, "In Stock", IF(G13&gt;0, "Low Stock", IF(G13=0, "Out of Stock", "Over Sold")))</f>
        <v/>
      </c>
    </row>
    <row r="14">
      <c r="A14" s="2" t="inlineStr">
        <is>
          <t>DE26005M</t>
        </is>
      </c>
      <c r="B14" s="3" t="n">
        <v>10</v>
      </c>
      <c r="C14" s="3" t="n">
        <v>1</v>
      </c>
      <c r="D14" s="3" t="n">
        <v>0</v>
      </c>
      <c r="E14" s="3" t="n">
        <v>0</v>
      </c>
      <c r="F14" s="3" t="n">
        <v>0</v>
      </c>
      <c r="G14" s="3">
        <f>B14-C14+F14</f>
        <v/>
      </c>
      <c r="H14" s="4" t="n">
        <v>235</v>
      </c>
      <c r="I14" s="4">
        <f>G14*H14</f>
        <v/>
      </c>
      <c r="J14" s="4" t="n">
        <v>72.33</v>
      </c>
      <c r="K14" s="2">
        <f>IF(G14&gt;10, "In Stock", IF(G14&gt;0, "Low Stock", IF(G14=0, "Out of Stock", "Over Sold")))</f>
        <v/>
      </c>
    </row>
    <row r="15">
      <c r="A15" s="2" t="inlineStr">
        <is>
          <t>DE26005N</t>
        </is>
      </c>
      <c r="B15" s="3" t="n">
        <v>10</v>
      </c>
      <c r="C15" s="3" t="n">
        <v>2</v>
      </c>
      <c r="D15" s="3" t="n">
        <v>0</v>
      </c>
      <c r="E15" s="3" t="n">
        <v>1</v>
      </c>
      <c r="F15" s="3" t="n">
        <v>0</v>
      </c>
      <c r="G15" s="3">
        <f>B15-C15+F15</f>
        <v/>
      </c>
      <c r="H15" s="4" t="n">
        <v>235</v>
      </c>
      <c r="I15" s="4">
        <f>G15*H15</f>
        <v/>
      </c>
      <c r="J15" s="4" t="n">
        <v>105.34</v>
      </c>
      <c r="K15" s="2">
        <f>IF(G15&gt;10, "In Stock", IF(G15&gt;0, "Low Stock", IF(G15=0, "Out of Stock", "Over Sold")))</f>
        <v/>
      </c>
    </row>
    <row r="16">
      <c r="A16" s="2" t="inlineStr">
        <is>
          <t>DE26005R</t>
        </is>
      </c>
      <c r="B16" s="3" t="n">
        <v>10</v>
      </c>
      <c r="C16" s="3" t="n">
        <v>0</v>
      </c>
      <c r="D16" s="3" t="n">
        <v>0</v>
      </c>
      <c r="E16" s="3" t="n">
        <v>0</v>
      </c>
      <c r="F16" s="3" t="n">
        <v>0</v>
      </c>
      <c r="G16" s="3">
        <f>B16-C16+F16</f>
        <v/>
      </c>
      <c r="H16" s="4" t="n">
        <v>235</v>
      </c>
      <c r="I16" s="4">
        <f>G16*H16</f>
        <v/>
      </c>
      <c r="J16" s="4" t="n">
        <v>0</v>
      </c>
      <c r="K16" s="2">
        <f>IF(G16&gt;10, "In Stock", IF(G16&gt;0, "Low Stock", IF(G16=0, "Out of Stock", "Over Sold")))</f>
        <v/>
      </c>
    </row>
    <row r="17">
      <c r="A17" s="2" t="inlineStr">
        <is>
          <t>DE26006B</t>
        </is>
      </c>
      <c r="B17" s="3" t="n">
        <v>10</v>
      </c>
      <c r="C17" s="3" t="n">
        <v>1</v>
      </c>
      <c r="D17" s="3" t="n">
        <v>0</v>
      </c>
      <c r="E17" s="3" t="n">
        <v>0</v>
      </c>
      <c r="F17" s="3" t="n">
        <v>0</v>
      </c>
      <c r="G17" s="3">
        <f>B17-C17+F17</f>
        <v/>
      </c>
      <c r="H17" s="4" t="n">
        <v>235</v>
      </c>
      <c r="I17" s="4">
        <f>G17*H17</f>
        <v/>
      </c>
      <c r="J17" s="4" t="n">
        <v>101.72</v>
      </c>
      <c r="K17" s="2">
        <f>IF(G17&gt;10, "In Stock", IF(G17&gt;0, "Low Stock", IF(G17=0, "Out of Stock", "Over Sold")))</f>
        <v/>
      </c>
    </row>
    <row r="18">
      <c r="A18" s="2" t="inlineStr">
        <is>
          <t>DE26006R</t>
        </is>
      </c>
      <c r="B18" s="3" t="n">
        <v>10</v>
      </c>
      <c r="C18" s="3" t="n">
        <v>6</v>
      </c>
      <c r="D18" s="3" t="n">
        <v>0</v>
      </c>
      <c r="E18" s="3" t="n">
        <v>0</v>
      </c>
      <c r="F18" s="3" t="n">
        <v>0</v>
      </c>
      <c r="G18" s="3">
        <f>B18-C18+F18</f>
        <v/>
      </c>
      <c r="H18" s="4" t="n">
        <v>235</v>
      </c>
      <c r="I18" s="4">
        <f>G18*H18</f>
        <v/>
      </c>
      <c r="J18" s="4" t="n">
        <v>503.39</v>
      </c>
      <c r="K18" s="2">
        <f>IF(G18&gt;10, "In Stock", IF(G18&gt;0, "Low Stock", IF(G18=0, "Out of Stock", "Over Sold")))</f>
        <v/>
      </c>
    </row>
    <row r="19">
      <c r="A19" s="2" t="inlineStr">
        <is>
          <t>DE26007B</t>
        </is>
      </c>
      <c r="B19" s="3" t="n">
        <v>15</v>
      </c>
      <c r="C19" s="3" t="n">
        <v>0</v>
      </c>
      <c r="D19" s="3" t="n">
        <v>0</v>
      </c>
      <c r="E19" s="3" t="n">
        <v>0</v>
      </c>
      <c r="F19" s="3" t="n">
        <v>0</v>
      </c>
      <c r="G19" s="3">
        <f>B19-C19+F19</f>
        <v/>
      </c>
      <c r="H19" s="4" t="n">
        <v>235</v>
      </c>
      <c r="I19" s="4">
        <f>G19*H19</f>
        <v/>
      </c>
      <c r="J19" s="4" t="n">
        <v>0</v>
      </c>
      <c r="K19" s="2">
        <f>IF(G19&gt;10, "In Stock", IF(G19&gt;0, "Low Stock", IF(G19=0, "Out of Stock", "Over Sold")))</f>
        <v/>
      </c>
    </row>
    <row r="20">
      <c r="A20" s="2" t="inlineStr">
        <is>
          <t>DE26007N</t>
        </is>
      </c>
      <c r="B20" s="3" t="n">
        <v>7</v>
      </c>
      <c r="C20" s="3" t="n">
        <v>3</v>
      </c>
      <c r="D20" s="3" t="n">
        <v>0</v>
      </c>
      <c r="E20" s="3" t="n">
        <v>0</v>
      </c>
      <c r="F20" s="3" t="n">
        <v>0</v>
      </c>
      <c r="G20" s="3">
        <f>B20-C20+F20</f>
        <v/>
      </c>
      <c r="H20" s="4" t="n">
        <v>235</v>
      </c>
      <c r="I20" s="4">
        <f>G20*H20</f>
        <v/>
      </c>
      <c r="J20" s="4" t="n">
        <v>249.26</v>
      </c>
      <c r="K20" s="2">
        <f>IF(G20&gt;10, "In Stock", IF(G20&gt;0, "Low Stock", IF(G20=0, "Out of Stock", "Over Sold")))</f>
        <v/>
      </c>
    </row>
    <row r="21">
      <c r="A21" s="2" t="inlineStr">
        <is>
          <t>DE26007R</t>
        </is>
      </c>
      <c r="B21" s="3" t="n">
        <v>8</v>
      </c>
      <c r="C21" s="3" t="n">
        <v>1</v>
      </c>
      <c r="D21" s="3" t="n">
        <v>0</v>
      </c>
      <c r="E21" s="3" t="n">
        <v>0</v>
      </c>
      <c r="F21" s="3" t="n">
        <v>0</v>
      </c>
      <c r="G21" s="3">
        <f>B21-C21+F21</f>
        <v/>
      </c>
      <c r="H21" s="4" t="n">
        <v>235</v>
      </c>
      <c r="I21" s="4">
        <f>G21*H21</f>
        <v/>
      </c>
      <c r="J21" s="4" t="n">
        <v>74.66</v>
      </c>
      <c r="K21" s="2">
        <f>IF(G21&gt;10, "In Stock", IF(G21&gt;0, "Low Stock", IF(G21=0, "Out of Stock", "Over Sold")))</f>
        <v/>
      </c>
    </row>
    <row r="22">
      <c r="A22" s="2" t="inlineStr">
        <is>
          <t>DE26008B</t>
        </is>
      </c>
      <c r="B22" s="3" t="n">
        <v>10</v>
      </c>
      <c r="C22" s="3" t="n">
        <v>0</v>
      </c>
      <c r="D22" s="3" t="n">
        <v>0</v>
      </c>
      <c r="E22" s="3" t="n">
        <v>0</v>
      </c>
      <c r="F22" s="3" t="n">
        <v>0</v>
      </c>
      <c r="G22" s="3">
        <f>B22-C22+F22</f>
        <v/>
      </c>
      <c r="H22" s="4" t="n">
        <v>235</v>
      </c>
      <c r="I22" s="4">
        <f>G22*H22</f>
        <v/>
      </c>
      <c r="J22" s="4" t="n">
        <v>0</v>
      </c>
      <c r="K22" s="2">
        <f>IF(G22&gt;10, "In Stock", IF(G22&gt;0, "Low Stock", IF(G22=0, "Out of Stock", "Over Sold")))</f>
        <v/>
      </c>
    </row>
    <row r="23">
      <c r="A23" s="2" t="inlineStr">
        <is>
          <t>DE26008K</t>
        </is>
      </c>
      <c r="B23" s="3" t="n">
        <v>10</v>
      </c>
      <c r="C23" s="3" t="n">
        <v>0</v>
      </c>
      <c r="D23" s="3" t="n">
        <v>0</v>
      </c>
      <c r="E23" s="3" t="n">
        <v>0</v>
      </c>
      <c r="F23" s="3" t="n">
        <v>0</v>
      </c>
      <c r="G23" s="3">
        <f>B23-C23+F23</f>
        <v/>
      </c>
      <c r="H23" s="4" t="n">
        <v>235</v>
      </c>
      <c r="I23" s="4">
        <f>G23*H23</f>
        <v/>
      </c>
      <c r="J23" s="4" t="n">
        <v>0</v>
      </c>
      <c r="K23" s="2">
        <f>IF(G23&gt;10, "In Stock", IF(G23&gt;0, "Low Stock", IF(G23=0, "Out of Stock", "Over Sold")))</f>
        <v/>
      </c>
    </row>
    <row r="24">
      <c r="A24" s="2" t="inlineStr">
        <is>
          <t>DE26008R</t>
        </is>
      </c>
      <c r="B24" s="3" t="n">
        <v>10</v>
      </c>
      <c r="C24" s="3" t="n">
        <v>1</v>
      </c>
      <c r="D24" s="3" t="n">
        <v>0</v>
      </c>
      <c r="E24" s="3" t="n">
        <v>0</v>
      </c>
      <c r="F24" s="3" t="n">
        <v>0</v>
      </c>
      <c r="G24" s="3">
        <f>B24-C24+F24</f>
        <v/>
      </c>
      <c r="H24" s="4" t="n">
        <v>235</v>
      </c>
      <c r="I24" s="4">
        <f>G24*H24</f>
        <v/>
      </c>
      <c r="J24" s="4" t="n">
        <v>76.23999999999999</v>
      </c>
      <c r="K24" s="2">
        <f>IF(G24&gt;10, "In Stock", IF(G24&gt;0, "Low Stock", IF(G24=0, "Out of Stock", "Over Sold")))</f>
        <v/>
      </c>
    </row>
    <row r="25">
      <c r="A25" s="2" t="inlineStr">
        <is>
          <t>DE26009B</t>
        </is>
      </c>
      <c r="B25" s="3" t="n">
        <v>13</v>
      </c>
      <c r="C25" s="3" t="n">
        <v>2</v>
      </c>
      <c r="D25" s="3" t="n">
        <v>0</v>
      </c>
      <c r="E25" s="3" t="n">
        <v>0</v>
      </c>
      <c r="F25" s="3" t="n">
        <v>0</v>
      </c>
      <c r="G25" s="3">
        <f>B25-C25+F25</f>
        <v/>
      </c>
      <c r="H25" s="4" t="n">
        <v>225</v>
      </c>
      <c r="I25" s="4">
        <f>G25*H25</f>
        <v/>
      </c>
      <c r="J25" s="4" t="n">
        <v>183.09</v>
      </c>
      <c r="K25" s="2">
        <f>IF(G25&gt;10, "In Stock", IF(G25&gt;0, "Low Stock", IF(G25=0, "Out of Stock", "Over Sold")))</f>
        <v/>
      </c>
    </row>
    <row r="26">
      <c r="A26" s="2" t="inlineStr">
        <is>
          <t>DE26009G</t>
        </is>
      </c>
      <c r="B26" s="3" t="n">
        <v>12</v>
      </c>
      <c r="C26" s="3" t="n">
        <v>6</v>
      </c>
      <c r="D26" s="3" t="n">
        <v>0</v>
      </c>
      <c r="E26" s="3" t="n">
        <v>0</v>
      </c>
      <c r="F26" s="3" t="n">
        <v>0</v>
      </c>
      <c r="G26" s="3">
        <f>B26-C26+F26</f>
        <v/>
      </c>
      <c r="H26" s="4" t="n">
        <v>225</v>
      </c>
      <c r="I26" s="4">
        <f>G26*H26</f>
        <v/>
      </c>
      <c r="J26" s="4" t="n">
        <v>516.08</v>
      </c>
      <c r="K26" s="2">
        <f>IF(G26&gt;10, "In Stock", IF(G26&gt;0, "Low Stock", IF(G26=0, "Out of Stock", "Over Sold")))</f>
        <v/>
      </c>
    </row>
    <row r="27">
      <c r="A27" s="2" t="inlineStr">
        <is>
          <t>DE26009P</t>
        </is>
      </c>
      <c r="B27" s="3" t="n">
        <v>22</v>
      </c>
      <c r="C27" s="3" t="n">
        <v>1</v>
      </c>
      <c r="D27" s="3" t="n">
        <v>1</v>
      </c>
      <c r="E27" s="3" t="n">
        <v>0</v>
      </c>
      <c r="F27" s="3" t="n">
        <v>0</v>
      </c>
      <c r="G27" s="3">
        <f>B27-C27+F27</f>
        <v/>
      </c>
      <c r="H27" s="4" t="n">
        <v>225</v>
      </c>
      <c r="I27" s="4">
        <f>G27*H27</f>
        <v/>
      </c>
      <c r="J27" s="4" t="n">
        <v>77.09999999999999</v>
      </c>
      <c r="K27" s="2">
        <f>IF(G27&gt;10, "In Stock", IF(G27&gt;0, "Low Stock", IF(G27=0, "Out of Stock", "Over Sold")))</f>
        <v/>
      </c>
    </row>
    <row r="28">
      <c r="A28" s="2" t="inlineStr">
        <is>
          <t>DE26009Y</t>
        </is>
      </c>
      <c r="B28" s="3" t="n">
        <v>13</v>
      </c>
      <c r="C28" s="3" t="n">
        <v>1</v>
      </c>
      <c r="D28" s="3" t="n">
        <v>1</v>
      </c>
      <c r="E28" s="3" t="n">
        <v>0</v>
      </c>
      <c r="F28" s="3" t="n">
        <v>0</v>
      </c>
      <c r="G28" s="3">
        <f>B28-C28+F28</f>
        <v/>
      </c>
      <c r="H28" s="4" t="n">
        <v>225</v>
      </c>
      <c r="I28" s="4">
        <f>G28*H28</f>
        <v/>
      </c>
      <c r="J28" s="4" t="n">
        <v>69.62</v>
      </c>
      <c r="K28" s="2">
        <f>IF(G28&gt;10, "In Stock", IF(G28&gt;0, "Low Stock", IF(G28=0, "Out of Stock", "Over Sold")))</f>
        <v/>
      </c>
    </row>
    <row r="29">
      <c r="A29" s="2" t="inlineStr">
        <is>
          <t>DE26011N</t>
        </is>
      </c>
      <c r="B29" s="3" t="n">
        <v>6</v>
      </c>
      <c r="C29" s="3" t="n">
        <v>0</v>
      </c>
      <c r="D29" s="3" t="n">
        <v>0</v>
      </c>
      <c r="E29" s="3" t="n">
        <v>0</v>
      </c>
      <c r="F29" s="3" t="n">
        <v>0</v>
      </c>
      <c r="G29" s="3">
        <f>B29-C29+F29</f>
        <v/>
      </c>
      <c r="H29" s="4" t="n">
        <v>185</v>
      </c>
      <c r="I29" s="4">
        <f>G29*H29</f>
        <v/>
      </c>
      <c r="J29" s="4" t="n">
        <v>0</v>
      </c>
      <c r="K29" s="2">
        <f>IF(G29&gt;10, "In Stock", IF(G29&gt;0, "Low Stock", IF(G29=0, "Out of Stock", "Over Sold")))</f>
        <v/>
      </c>
    </row>
    <row r="30">
      <c r="A30" s="2" t="inlineStr">
        <is>
          <t>DE26016B</t>
        </is>
      </c>
      <c r="B30" s="3" t="n">
        <v>10</v>
      </c>
      <c r="C30" s="3" t="n">
        <v>0</v>
      </c>
      <c r="D30" s="3" t="n">
        <v>0</v>
      </c>
      <c r="E30" s="3" t="n">
        <v>0</v>
      </c>
      <c r="F30" s="3" t="n">
        <v>0</v>
      </c>
      <c r="G30" s="3">
        <f>B30-C30+F30</f>
        <v/>
      </c>
      <c r="H30" s="4" t="n">
        <v>235</v>
      </c>
      <c r="I30" s="4">
        <f>G30*H30</f>
        <v/>
      </c>
      <c r="J30" s="4" t="n">
        <v>0</v>
      </c>
      <c r="K30" s="2">
        <f>IF(G30&gt;10, "In Stock", IF(G30&gt;0, "Low Stock", IF(G30=0, "Out of Stock", "Over Sold")))</f>
        <v/>
      </c>
    </row>
    <row r="31">
      <c r="A31" s="2" t="inlineStr">
        <is>
          <t>DE26016R</t>
        </is>
      </c>
      <c r="B31" s="3" t="n">
        <v>10</v>
      </c>
      <c r="C31" s="3" t="n">
        <v>1</v>
      </c>
      <c r="D31" s="3" t="n">
        <v>0</v>
      </c>
      <c r="E31" s="3" t="n">
        <v>0</v>
      </c>
      <c r="F31" s="3" t="n">
        <v>0</v>
      </c>
      <c r="G31" s="3">
        <f>B31-C31+F31</f>
        <v/>
      </c>
      <c r="H31" s="4" t="n">
        <v>235</v>
      </c>
      <c r="I31" s="4">
        <f>G31*H31</f>
        <v/>
      </c>
      <c r="J31" s="4" t="n">
        <v>57.51</v>
      </c>
      <c r="K31" s="2">
        <f>IF(G31&gt;10, "In Stock", IF(G31&gt;0, "Low Stock", IF(G31=0, "Out of Stock", "Over Sold")))</f>
        <v/>
      </c>
    </row>
    <row r="32">
      <c r="A32" s="2" t="inlineStr">
        <is>
          <t>DE26030B</t>
        </is>
      </c>
      <c r="B32" s="3" t="n">
        <v>10</v>
      </c>
      <c r="C32" s="3" t="n">
        <v>4</v>
      </c>
      <c r="D32" s="3" t="n">
        <v>0</v>
      </c>
      <c r="E32" s="3" t="n">
        <v>0</v>
      </c>
      <c r="F32" s="3" t="n">
        <v>0</v>
      </c>
      <c r="G32" s="3">
        <f>B32-C32+F32</f>
        <v/>
      </c>
      <c r="H32" s="4" t="n">
        <v>205</v>
      </c>
      <c r="I32" s="4">
        <f>G32*H32</f>
        <v/>
      </c>
      <c r="J32" s="4" t="n">
        <v>349.52</v>
      </c>
      <c r="K32" s="2">
        <f>IF(G32&gt;10, "In Stock", IF(G32&gt;0, "Low Stock", IF(G32=0, "Out of Stock", "Over Sold")))</f>
        <v/>
      </c>
    </row>
    <row r="33">
      <c r="A33" s="2" t="inlineStr">
        <is>
          <t>DE26030M</t>
        </is>
      </c>
      <c r="B33" s="3" t="n">
        <v>10</v>
      </c>
      <c r="C33" s="3" t="n">
        <v>2</v>
      </c>
      <c r="D33" s="3" t="n">
        <v>0</v>
      </c>
      <c r="E33" s="3" t="n">
        <v>0</v>
      </c>
      <c r="F33" s="3" t="n">
        <v>0</v>
      </c>
      <c r="G33" s="3">
        <f>B33-C33+F33</f>
        <v/>
      </c>
      <c r="H33" s="4" t="n">
        <v>205</v>
      </c>
      <c r="I33" s="4">
        <f>G33*H33</f>
        <v/>
      </c>
      <c r="J33" s="4" t="n">
        <v>169.29</v>
      </c>
      <c r="K33" s="2">
        <f>IF(G33&gt;10, "In Stock", IF(G33&gt;0, "Low Stock", IF(G33=0, "Out of Stock", "Over Sold")))</f>
        <v/>
      </c>
    </row>
    <row r="34">
      <c r="A34" s="2" t="inlineStr">
        <is>
          <t>DE26030R</t>
        </is>
      </c>
      <c r="B34" s="3" t="n">
        <v>10</v>
      </c>
      <c r="C34" s="3" t="n">
        <v>4</v>
      </c>
      <c r="D34" s="3" t="n">
        <v>0</v>
      </c>
      <c r="E34" s="3" t="n">
        <v>0</v>
      </c>
      <c r="F34" s="3" t="n">
        <v>0</v>
      </c>
      <c r="G34" s="3">
        <f>B34-C34+F34</f>
        <v/>
      </c>
      <c r="H34" s="4" t="n">
        <v>205</v>
      </c>
      <c r="I34" s="4">
        <f>G34*H34</f>
        <v/>
      </c>
      <c r="J34" s="4" t="n">
        <v>351.95</v>
      </c>
      <c r="K34" s="2">
        <f>IF(G34&gt;10, "In Stock", IF(G34&gt;0, "Low Stock", IF(G34=0, "Out of Stock", "Over Sold")))</f>
        <v/>
      </c>
    </row>
    <row r="35">
      <c r="A35" s="2" t="inlineStr">
        <is>
          <t>DE26050B</t>
        </is>
      </c>
      <c r="B35" s="3" t="n">
        <v>10</v>
      </c>
      <c r="C35" s="3" t="n">
        <v>2</v>
      </c>
      <c r="D35" s="3" t="n">
        <v>0</v>
      </c>
      <c r="E35" s="3" t="n">
        <v>0</v>
      </c>
      <c r="F35" s="3" t="n">
        <v>0</v>
      </c>
      <c r="G35" s="3">
        <f>B35-C35+F35</f>
        <v/>
      </c>
      <c r="H35" s="4" t="n">
        <v>235</v>
      </c>
      <c r="I35" s="4">
        <f>G35*H35</f>
        <v/>
      </c>
      <c r="J35" s="4" t="n">
        <v>204.92</v>
      </c>
      <c r="K35" s="2">
        <f>IF(G35&gt;10, "In Stock", IF(G35&gt;0, "Low Stock", IF(G35=0, "Out of Stock", "Over Sold")))</f>
        <v/>
      </c>
    </row>
    <row r="36">
      <c r="A36" s="2" t="inlineStr">
        <is>
          <t>DE26063B</t>
        </is>
      </c>
      <c r="B36" s="3" t="n">
        <v>3</v>
      </c>
      <c r="C36" s="3" t="n">
        <v>2</v>
      </c>
      <c r="D36" s="3" t="n">
        <v>0</v>
      </c>
      <c r="E36" s="3" t="n">
        <v>0</v>
      </c>
      <c r="F36" s="3" t="n">
        <v>0</v>
      </c>
      <c r="G36" s="3">
        <f>B36-C36+F36</f>
        <v/>
      </c>
      <c r="H36" s="4" t="n">
        <v>219</v>
      </c>
      <c r="I36" s="4">
        <f>G36*H36</f>
        <v/>
      </c>
      <c r="J36" s="4" t="n">
        <v>141.97</v>
      </c>
      <c r="K36" s="2">
        <f>IF(G36&gt;10, "In Stock", IF(G36&gt;0, "Low Stock", IF(G36=0, "Out of Stock", "Over Sold")))</f>
        <v/>
      </c>
    </row>
    <row r="37">
      <c r="A37" s="2" t="inlineStr">
        <is>
          <t>DE26063W</t>
        </is>
      </c>
      <c r="B37" s="3" t="n">
        <v>17</v>
      </c>
      <c r="C37" s="3" t="n">
        <v>1</v>
      </c>
      <c r="D37" s="3" t="n">
        <v>0</v>
      </c>
      <c r="E37" s="3" t="n">
        <v>0</v>
      </c>
      <c r="F37" s="3" t="n">
        <v>0</v>
      </c>
      <c r="G37" s="3">
        <f>B37-C37+F37</f>
        <v/>
      </c>
      <c r="H37" s="4" t="n">
        <v>219</v>
      </c>
      <c r="I37" s="4">
        <f>G37*H37</f>
        <v/>
      </c>
      <c r="J37" s="4" t="n">
        <v>76.65000000000001</v>
      </c>
      <c r="K37" s="2">
        <f>IF(G37&gt;10, "In Stock", IF(G37&gt;0, "Low Stock", IF(G37=0, "Out of Stock", "Over Sold")))</f>
        <v/>
      </c>
    </row>
    <row r="38">
      <c r="A38" s="2" t="inlineStr">
        <is>
          <t>DE26077N</t>
        </is>
      </c>
      <c r="B38" s="3" t="n">
        <v>6</v>
      </c>
      <c r="C38" s="3" t="n">
        <v>6</v>
      </c>
      <c r="D38" s="3" t="n">
        <v>0</v>
      </c>
      <c r="E38" s="3" t="n">
        <v>0</v>
      </c>
      <c r="F38" s="3" t="n">
        <v>0</v>
      </c>
      <c r="G38" s="3">
        <f>B38-C38+F38</f>
        <v/>
      </c>
      <c r="H38" s="4" t="n">
        <v>220</v>
      </c>
      <c r="I38" s="4">
        <f>G38*H38</f>
        <v/>
      </c>
      <c r="J38" s="4" t="n">
        <v>465.25</v>
      </c>
      <c r="K38" s="2">
        <f>IF(G38&gt;10, "In Stock", IF(G38&gt;0, "Low Stock", IF(G38=0, "Out of Stock", "Over Sold")))</f>
        <v/>
      </c>
    </row>
    <row r="39">
      <c r="A39" s="2" t="inlineStr">
        <is>
          <t>DE26077R</t>
        </is>
      </c>
      <c r="B39" s="3" t="n">
        <v>12</v>
      </c>
      <c r="C39" s="3" t="n">
        <v>12</v>
      </c>
      <c r="D39" s="3" t="n">
        <v>0</v>
      </c>
      <c r="E39" s="3" t="n">
        <v>2</v>
      </c>
      <c r="F39" s="3" t="n">
        <v>0</v>
      </c>
      <c r="G39" s="3">
        <f>B39-C39+F39</f>
        <v/>
      </c>
      <c r="H39" s="4" t="n">
        <v>220</v>
      </c>
      <c r="I39" s="4">
        <f>G39*H39</f>
        <v/>
      </c>
      <c r="J39" s="4" t="n">
        <v>905.17</v>
      </c>
      <c r="K39" s="2">
        <f>IF(G39&gt;10, "In Stock", IF(G39&gt;0, "Low Stock", IF(G39=0, "Out of Stock", "Over Sold")))</f>
        <v/>
      </c>
    </row>
    <row r="40">
      <c r="A40" s="2" t="inlineStr">
        <is>
          <t>DE26077Y</t>
        </is>
      </c>
      <c r="B40" s="3" t="n">
        <v>12</v>
      </c>
      <c r="C40" s="3" t="n">
        <v>8</v>
      </c>
      <c r="D40" s="3" t="n">
        <v>0</v>
      </c>
      <c r="E40" s="3" t="n">
        <v>2</v>
      </c>
      <c r="F40" s="3" t="n">
        <v>0</v>
      </c>
      <c r="G40" s="3">
        <f>B40-C40+F40</f>
        <v/>
      </c>
      <c r="H40" s="4" t="n">
        <v>220</v>
      </c>
      <c r="I40" s="4">
        <f>G40*H40</f>
        <v/>
      </c>
      <c r="J40" s="4" t="n">
        <v>607.84</v>
      </c>
      <c r="K40" s="2">
        <f>IF(G40&gt;10, "In Stock", IF(G40&gt;0, "Low Stock", IF(G40=0, "Out of Stock", "Over Sold")))</f>
        <v/>
      </c>
    </row>
    <row r="41">
      <c r="A41" s="2" t="inlineStr">
        <is>
          <t>DE26081M</t>
        </is>
      </c>
      <c r="B41" s="3" t="n">
        <v>10</v>
      </c>
      <c r="C41" s="3" t="n">
        <v>1</v>
      </c>
      <c r="D41" s="3" t="n">
        <v>0</v>
      </c>
      <c r="E41" s="3" t="n">
        <v>0</v>
      </c>
      <c r="F41" s="3" t="n">
        <v>0</v>
      </c>
      <c r="G41" s="3">
        <f>B41-C41+F41</f>
        <v/>
      </c>
      <c r="H41" s="4" t="n">
        <v>235</v>
      </c>
      <c r="I41" s="4">
        <f>G41*H41</f>
        <v/>
      </c>
      <c r="J41" s="4" t="n">
        <v>80.67</v>
      </c>
      <c r="K41" s="2">
        <f>IF(G41&gt;10, "In Stock", IF(G41&gt;0, "Low Stock", IF(G41=0, "Out of Stock", "Over Sold")))</f>
        <v/>
      </c>
    </row>
    <row r="42">
      <c r="A42" s="2" t="inlineStr">
        <is>
          <t>DE26081N</t>
        </is>
      </c>
      <c r="B42" s="3" t="n">
        <v>10</v>
      </c>
      <c r="C42" s="3" t="n">
        <v>0</v>
      </c>
      <c r="D42" s="3" t="n">
        <v>0</v>
      </c>
      <c r="E42" s="3" t="n">
        <v>0</v>
      </c>
      <c r="F42" s="3" t="n">
        <v>0</v>
      </c>
      <c r="G42" s="3">
        <f>B42-C42+F42</f>
        <v/>
      </c>
      <c r="H42" s="4" t="n">
        <v>235</v>
      </c>
      <c r="I42" s="4">
        <f>G42*H42</f>
        <v/>
      </c>
      <c r="J42" s="4" t="n">
        <v>0</v>
      </c>
      <c r="K42" s="2">
        <f>IF(G42&gt;10, "In Stock", IF(G42&gt;0, "Low Stock", IF(G42=0, "Out of Stock", "Over Sold")))</f>
        <v/>
      </c>
    </row>
    <row r="43">
      <c r="A43" s="2" t="inlineStr">
        <is>
          <t>DE26081R</t>
        </is>
      </c>
      <c r="B43" s="3" t="n">
        <v>10</v>
      </c>
      <c r="C43" s="3" t="n">
        <v>0</v>
      </c>
      <c r="D43" s="3" t="n">
        <v>0</v>
      </c>
      <c r="E43" s="3" t="n">
        <v>0</v>
      </c>
      <c r="F43" s="3" t="n">
        <v>0</v>
      </c>
      <c r="G43" s="3">
        <f>B43-C43+F43</f>
        <v/>
      </c>
      <c r="H43" s="4" t="n">
        <v>235</v>
      </c>
      <c r="I43" s="4">
        <f>G43*H43</f>
        <v/>
      </c>
      <c r="J43" s="4" t="n">
        <v>0</v>
      </c>
      <c r="K43" s="2">
        <f>IF(G43&gt;10, "In Stock", IF(G43&gt;0, "Low Stock", IF(G43=0, "Out of Stock", "Over Sold")))</f>
        <v/>
      </c>
    </row>
    <row r="44">
      <c r="A44" s="6" t="inlineStr">
        <is>
          <t>Total Summary</t>
        </is>
      </c>
      <c r="B44" s="7">
        <f>SUM(B2:B43)</f>
        <v/>
      </c>
      <c r="C44" s="7">
        <f>SUM(C2:C43)</f>
        <v/>
      </c>
      <c r="D44" s="7">
        <f>SUM(D2:D43)</f>
        <v/>
      </c>
      <c r="E44" s="7">
        <f>SUM(E2:E43)</f>
        <v/>
      </c>
      <c r="F44" s="7">
        <f>SUM(F2:F43)</f>
        <v/>
      </c>
      <c r="G44" s="7">
        <f>SUM(G2:G43)</f>
        <v/>
      </c>
      <c r="H44" s="6" t="inlineStr"/>
      <c r="I44" s="8">
        <f>SUM(I2:I43)</f>
        <v/>
      </c>
      <c r="J44" s="8">
        <f>SUM(J2:J43)</f>
        <v/>
      </c>
      <c r="K44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6" customWidth="1" min="4" max="4"/>
    <col width="18" customWidth="1" min="5" max="5"/>
    <col width="24" customWidth="1" min="6" max="6"/>
    <col width="19" customWidth="1" min="7" max="7"/>
    <col width="14" customWidth="1" min="8" max="8"/>
    <col width="17" customWidth="1" min="9" max="9"/>
    <col width="18" customWidth="1" min="10" max="10"/>
    <col width="35" customWidth="1" min="11" max="11"/>
    <col width="12" customWidth="1" min="12" max="12"/>
  </cols>
  <sheetData>
    <row r="1">
      <c r="A1" s="1" t="inlineStr">
        <is>
          <t>RTO ID</t>
        </is>
      </c>
      <c r="B1" s="1" t="inlineStr">
        <is>
          <t>Date</t>
        </is>
      </c>
      <c r="C1" s="1" t="inlineStr">
        <is>
          <t>Style No.</t>
        </is>
      </c>
      <c r="D1" s="1" t="inlineStr">
        <is>
          <t>Quantity</t>
        </is>
      </c>
      <c r="E1" s="1" t="inlineStr">
        <is>
          <t>Sale Price ($)</t>
        </is>
      </c>
      <c r="F1" s="1" t="inlineStr">
        <is>
          <t>Reversed Revenue ($)</t>
        </is>
      </c>
      <c r="G1" s="1" t="inlineStr">
        <is>
          <t>Courier Fee ($)</t>
        </is>
      </c>
      <c r="H1" s="1" t="inlineStr">
        <is>
          <t>Status</t>
        </is>
      </c>
      <c r="I1" s="1" t="inlineStr">
        <is>
          <t>Received Date</t>
        </is>
      </c>
      <c r="J1" s="1" t="inlineStr">
        <is>
          <t>Restocked Date</t>
        </is>
      </c>
      <c r="K1" s="1" t="inlineStr">
        <is>
          <t>Tracking No.</t>
        </is>
      </c>
      <c r="L1" s="1" t="inlineStr">
        <is>
          <t>Notes</t>
        </is>
      </c>
    </row>
    <row r="2">
      <c r="A2" s="2" t="inlineStr">
        <is>
          <t>RTO-001</t>
        </is>
      </c>
      <c r="B2" s="2" t="inlineStr">
        <is>
          <t>2026-08-27</t>
        </is>
      </c>
      <c r="C2" s="2" t="inlineStr">
        <is>
          <t>DE26001G</t>
        </is>
      </c>
      <c r="D2" s="3" t="n">
        <v>1</v>
      </c>
      <c r="E2" s="4" t="n">
        <v>290.29</v>
      </c>
      <c r="F2" s="4">
        <f>D2*E2</f>
        <v/>
      </c>
      <c r="G2" s="4" t="n">
        <v>0</v>
      </c>
      <c r="H2" s="2" t="inlineStr">
        <is>
          <t>Received</t>
        </is>
      </c>
      <c r="I2" s="2" t="inlineStr">
        <is>
          <t>2026-09-02</t>
        </is>
      </c>
      <c r="J2" s="2" t="inlineStr"/>
      <c r="K2" s="2" t="inlineStr">
        <is>
          <t>Valmo AWB-VL0085213664223</t>
        </is>
      </c>
      <c r="L2" s="2" t="inlineStr"/>
    </row>
    <row r="3">
      <c r="A3" s="2" t="inlineStr">
        <is>
          <t>RTO-002</t>
        </is>
      </c>
      <c r="B3" s="2" t="inlineStr">
        <is>
          <t>2026-08-30</t>
        </is>
      </c>
      <c r="C3" s="2" t="inlineStr">
        <is>
          <t>DE26003W</t>
        </is>
      </c>
      <c r="D3" s="3" t="n">
        <v>1</v>
      </c>
      <c r="E3" s="4" t="n">
        <v>298.79</v>
      </c>
      <c r="F3" s="4">
        <f>D3*E3</f>
        <v/>
      </c>
      <c r="G3" s="4" t="n">
        <v>0</v>
      </c>
      <c r="H3" s="2" t="inlineStr">
        <is>
          <t>Received</t>
        </is>
      </c>
      <c r="I3" s="2" t="inlineStr">
        <is>
          <t>2026-09-08</t>
        </is>
      </c>
      <c r="J3" s="2" t="inlineStr"/>
      <c r="K3" s="2" t="inlineStr">
        <is>
          <t>Valmo AWB-VL0085222732870</t>
        </is>
      </c>
      <c r="L3" s="2" t="inlineStr"/>
    </row>
    <row r="4">
      <c r="A4" s="2" t="inlineStr">
        <is>
          <t>RTO-003</t>
        </is>
      </c>
      <c r="B4" s="2" t="inlineStr">
        <is>
          <t>2026-09-03</t>
        </is>
      </c>
      <c r="C4" s="2" t="inlineStr">
        <is>
          <t>DE26003B</t>
        </is>
      </c>
      <c r="D4" s="3" t="n">
        <v>1</v>
      </c>
      <c r="E4" s="4" t="n">
        <v>318.7</v>
      </c>
      <c r="F4" s="4">
        <f>D4*E4</f>
        <v/>
      </c>
      <c r="G4" s="4" t="n">
        <v>0</v>
      </c>
      <c r="H4" s="2" t="inlineStr">
        <is>
          <t>Received</t>
        </is>
      </c>
      <c r="I4" s="2" t="inlineStr">
        <is>
          <t>2026-09-09</t>
        </is>
      </c>
      <c r="J4" s="2" t="inlineStr"/>
      <c r="K4" s="2" t="inlineStr">
        <is>
          <t>Valmo AWB-VL0085241882758</t>
        </is>
      </c>
      <c r="L4" s="2" t="inlineStr"/>
    </row>
    <row r="5">
      <c r="A5" s="2" t="inlineStr">
        <is>
          <t>RTO-004</t>
        </is>
      </c>
      <c r="B5" s="2" t="inlineStr">
        <is>
          <t>2026-09-03</t>
        </is>
      </c>
      <c r="C5" s="2" t="inlineStr">
        <is>
          <t>DE26003W</t>
        </is>
      </c>
      <c r="D5" s="3" t="n">
        <v>1</v>
      </c>
      <c r="E5" s="4" t="n">
        <v>295.65</v>
      </c>
      <c r="F5" s="4">
        <f>D5*E5</f>
        <v/>
      </c>
      <c r="G5" s="4" t="n">
        <v>0</v>
      </c>
      <c r="H5" s="2" t="inlineStr">
        <is>
          <t>Received</t>
        </is>
      </c>
      <c r="I5" s="2" t="inlineStr">
        <is>
          <t>2026-09-09</t>
        </is>
      </c>
      <c r="J5" s="2" t="inlineStr"/>
      <c r="K5" s="2" t="inlineStr">
        <is>
          <t>Valmo AWB-VL0085266813793</t>
        </is>
      </c>
      <c r="L5" s="2" t="inlineStr"/>
    </row>
    <row r="6">
      <c r="A6" s="2" t="inlineStr">
        <is>
          <t>RTO-005</t>
        </is>
      </c>
      <c r="B6" s="2" t="inlineStr">
        <is>
          <t>2026-09-08</t>
        </is>
      </c>
      <c r="C6" s="2" t="inlineStr">
        <is>
          <t>DE26005N</t>
        </is>
      </c>
      <c r="D6" s="3" t="n">
        <v>1</v>
      </c>
      <c r="E6" s="4" t="n">
        <v>271.06</v>
      </c>
      <c r="F6" s="4">
        <f>D6*E6</f>
        <v/>
      </c>
      <c r="G6" s="4" t="n">
        <v>0</v>
      </c>
      <c r="H6" s="2" t="inlineStr">
        <is>
          <t>Received</t>
        </is>
      </c>
      <c r="I6" s="2" t="inlineStr">
        <is>
          <t>2026-09-12</t>
        </is>
      </c>
      <c r="J6" s="2" t="inlineStr"/>
      <c r="K6" s="2" t="inlineStr">
        <is>
          <t>Delhivery AWB-1490840673301335</t>
        </is>
      </c>
      <c r="L6" s="2" t="inlineStr"/>
    </row>
    <row r="7">
      <c r="A7" s="2" t="inlineStr">
        <is>
          <t>RTO-006</t>
        </is>
      </c>
      <c r="B7" s="2" t="inlineStr">
        <is>
          <t>2026-09-09</t>
        </is>
      </c>
      <c r="C7" s="2" t="inlineStr">
        <is>
          <t>DE26077R</t>
        </is>
      </c>
      <c r="D7" s="3" t="n">
        <v>1</v>
      </c>
      <c r="E7" s="4" t="n">
        <v>283.82</v>
      </c>
      <c r="F7" s="4">
        <f>D7*E7</f>
        <v/>
      </c>
      <c r="G7" s="4" t="n">
        <v>0</v>
      </c>
      <c r="H7" s="2" t="inlineStr">
        <is>
          <t>Received</t>
        </is>
      </c>
      <c r="I7" s="2" t="inlineStr">
        <is>
          <t>2026-09-15</t>
        </is>
      </c>
      <c r="J7" s="2" t="inlineStr"/>
      <c r="K7" s="2" t="inlineStr">
        <is>
          <t>Shadowfax AWB-SF3971309323FPL</t>
        </is>
      </c>
      <c r="L7" s="2" t="inlineStr"/>
    </row>
    <row r="8">
      <c r="A8" s="2" t="inlineStr">
        <is>
          <t>RTO-007</t>
        </is>
      </c>
      <c r="B8" s="2" t="inlineStr">
        <is>
          <t>2026-09-11</t>
        </is>
      </c>
      <c r="C8" s="2" t="inlineStr">
        <is>
          <t>DE26077R</t>
        </is>
      </c>
      <c r="D8" s="3" t="n">
        <v>1</v>
      </c>
      <c r="E8" s="4" t="n">
        <v>280.98</v>
      </c>
      <c r="F8" s="4">
        <f>D8*E8</f>
        <v/>
      </c>
      <c r="G8" s="4" t="n">
        <v>0</v>
      </c>
      <c r="H8" s="2" t="inlineStr">
        <is>
          <t>Received</t>
        </is>
      </c>
      <c r="I8" s="2" t="inlineStr">
        <is>
          <t>2026-09-16</t>
        </is>
      </c>
      <c r="J8" s="2" t="inlineStr"/>
      <c r="K8" s="2" t="inlineStr">
        <is>
          <t>Valmo AWB-VL0085333829768</t>
        </is>
      </c>
      <c r="L8" s="2" t="inlineStr"/>
    </row>
    <row r="9">
      <c r="A9" s="2" t="inlineStr">
        <is>
          <t>RTO-008</t>
        </is>
      </c>
      <c r="B9" s="2" t="inlineStr">
        <is>
          <t>2026-09-11</t>
        </is>
      </c>
      <c r="C9" s="2" t="inlineStr">
        <is>
          <t>DE26077Y</t>
        </is>
      </c>
      <c r="D9" s="3" t="n">
        <v>1</v>
      </c>
      <c r="E9" s="4" t="n">
        <v>280.98</v>
      </c>
      <c r="F9" s="4">
        <f>D9*E9</f>
        <v/>
      </c>
      <c r="G9" s="4" t="n">
        <v>0</v>
      </c>
      <c r="H9" s="2" t="inlineStr">
        <is>
          <t>Received</t>
        </is>
      </c>
      <c r="I9" s="2" t="inlineStr">
        <is>
          <t>2026-09-19</t>
        </is>
      </c>
      <c r="J9" s="2" t="inlineStr"/>
      <c r="K9" s="2" t="inlineStr">
        <is>
          <t>Valmo AWB-VL0085314455419</t>
        </is>
      </c>
      <c r="L9" s="2" t="inlineStr"/>
    </row>
    <row r="10">
      <c r="A10" s="2" t="inlineStr">
        <is>
          <t>RTO-009</t>
        </is>
      </c>
      <c r="B10" s="2" t="inlineStr">
        <is>
          <t>2026-09-12</t>
        </is>
      </c>
      <c r="C10" s="2" t="inlineStr">
        <is>
          <t>DE26077Y</t>
        </is>
      </c>
      <c r="D10" s="3" t="n">
        <v>1</v>
      </c>
      <c r="E10" s="4" t="n">
        <v>318.52</v>
      </c>
      <c r="F10" s="4">
        <f>D10*E10</f>
        <v/>
      </c>
      <c r="G10" s="4" t="n">
        <v>0</v>
      </c>
      <c r="H10" s="2" t="inlineStr">
        <is>
          <t>Received</t>
        </is>
      </c>
      <c r="I10" s="2" t="inlineStr">
        <is>
          <t>2026-09-17</t>
        </is>
      </c>
      <c r="J10" s="2" t="inlineStr"/>
      <c r="K10" s="2" t="inlineStr">
        <is>
          <t>Delhivery AWB-1490840626797244</t>
        </is>
      </c>
      <c r="L10" s="2" t="inlineStr"/>
    </row>
    <row r="11">
      <c r="A11" s="2" t="inlineStr">
        <is>
          <t>RTO-010</t>
        </is>
      </c>
      <c r="B11" s="2" t="inlineStr">
        <is>
          <t>2026-09-16</t>
        </is>
      </c>
      <c r="C11" s="2" t="inlineStr">
        <is>
          <t>DE26001Y</t>
        </is>
      </c>
      <c r="D11" s="3" t="n">
        <v>1</v>
      </c>
      <c r="E11" s="4" t="n">
        <v>298.73</v>
      </c>
      <c r="F11" s="4">
        <f>D11*E11</f>
        <v/>
      </c>
      <c r="G11" s="4" t="n">
        <v>0</v>
      </c>
      <c r="H11" s="2" t="inlineStr">
        <is>
          <t>In Transit</t>
        </is>
      </c>
      <c r="I11" s="2" t="inlineStr"/>
      <c r="J11" s="2" t="inlineStr"/>
      <c r="K11" s="2" t="inlineStr">
        <is>
          <t>Xpress Bees AWB-134096122914427</t>
        </is>
      </c>
      <c r="L11" s="2" t="inlineStr"/>
    </row>
    <row r="12">
      <c r="A12" s="2" t="inlineStr">
        <is>
          <t>RTO-011</t>
        </is>
      </c>
      <c r="B12" s="2" t="inlineStr">
        <is>
          <t>2026-09-20</t>
        </is>
      </c>
      <c r="C12" s="2" t="inlineStr">
        <is>
          <t>DE26009P</t>
        </is>
      </c>
      <c r="D12" s="3" t="n">
        <v>1</v>
      </c>
      <c r="E12" s="4" t="n">
        <v>302.1</v>
      </c>
      <c r="F12" s="4">
        <f>D12*E12</f>
        <v/>
      </c>
      <c r="G12" s="4" t="n">
        <v>0</v>
      </c>
      <c r="H12" s="2" t="inlineStr">
        <is>
          <t>In Transit</t>
        </is>
      </c>
      <c r="I12" s="2" t="inlineStr"/>
      <c r="J12" s="2" t="inlineStr"/>
      <c r="K12" s="2" t="inlineStr">
        <is>
          <t>Valmo AWB-VL0085381962558</t>
        </is>
      </c>
      <c r="L12" s="2" t="inlineStr"/>
    </row>
    <row r="13">
      <c r="A13" s="2" t="inlineStr">
        <is>
          <t>RTO-012</t>
        </is>
      </c>
      <c r="B13" s="2" t="inlineStr">
        <is>
          <t>2026-09-20</t>
        </is>
      </c>
      <c r="C13" s="2" t="inlineStr">
        <is>
          <t>DE26002R</t>
        </is>
      </c>
      <c r="D13" s="3" t="n">
        <v>1</v>
      </c>
      <c r="E13" s="4" t="n">
        <v>315.37</v>
      </c>
      <c r="F13" s="4">
        <f>D13*E13</f>
        <v/>
      </c>
      <c r="G13" s="4" t="n">
        <v>0</v>
      </c>
      <c r="H13" s="2" t="inlineStr">
        <is>
          <t>Received</t>
        </is>
      </c>
      <c r="I13" s="2" t="inlineStr">
        <is>
          <t>2026-09-24</t>
        </is>
      </c>
      <c r="J13" s="2" t="inlineStr"/>
      <c r="K13" s="2" t="inlineStr">
        <is>
          <t>Delhivery AWB-1490841138769286</t>
        </is>
      </c>
      <c r="L13" s="2" t="inlineStr"/>
    </row>
    <row r="14">
      <c r="A14" s="2" t="inlineStr">
        <is>
          <t>RTO-013</t>
        </is>
      </c>
      <c r="B14" s="2" t="inlineStr">
        <is>
          <t>2026-09-27</t>
        </is>
      </c>
      <c r="C14" s="2" t="inlineStr">
        <is>
          <t>DE26009Y</t>
        </is>
      </c>
      <c r="D14" s="3" t="n">
        <v>1</v>
      </c>
      <c r="E14" s="4" t="n">
        <v>294.62</v>
      </c>
      <c r="F14" s="4">
        <f>D14*E14</f>
        <v/>
      </c>
      <c r="G14" s="4" t="n">
        <v>0</v>
      </c>
      <c r="H14" s="2" t="inlineStr">
        <is>
          <t>In Transit</t>
        </is>
      </c>
      <c r="I14" s="2" t="inlineStr"/>
      <c r="J14" s="2" t="inlineStr"/>
      <c r="K14" s="2" t="inlineStr">
        <is>
          <t>Delhivery AWB-1490841473188476</t>
        </is>
      </c>
      <c r="L14" s="2" t="inlineStr"/>
    </row>
    <row r="15">
      <c r="A15" s="6" t="inlineStr">
        <is>
          <t>Total Summary</t>
        </is>
      </c>
      <c r="B15" s="6" t="inlineStr"/>
      <c r="C15" s="6" t="inlineStr"/>
      <c r="D15" s="7">
        <f>SUM(D2:D14)</f>
        <v/>
      </c>
      <c r="E15" s="6" t="inlineStr"/>
      <c r="F15" s="8">
        <f>SUM(F2:F14)</f>
        <v/>
      </c>
      <c r="G15" s="8">
        <f>SUM(G2:G14)</f>
        <v/>
      </c>
      <c r="H15" s="6" t="inlineStr"/>
      <c r="I15" s="6" t="inlineStr"/>
      <c r="J15" s="6" t="inlineStr"/>
      <c r="K15" s="6" t="inlineStr"/>
      <c r="L15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5" customWidth="1" min="4" max="4"/>
    <col width="21" customWidth="1" min="5" max="5"/>
    <col width="19" customWidth="1" min="6" max="6"/>
    <col width="61" customWidth="1" min="7" max="7"/>
    <col width="48" customWidth="1" min="8" max="8"/>
    <col width="14" customWidth="1" min="9" max="9"/>
    <col width="17" customWidth="1" min="10" max="10"/>
    <col width="18" customWidth="1" min="11" max="11"/>
    <col width="34" customWidth="1" min="12" max="12"/>
    <col width="12" customWidth="1" min="13" max="13"/>
  </cols>
  <sheetData>
    <row r="1">
      <c r="A1" s="1" t="inlineStr">
        <is>
          <t>Return ID</t>
        </is>
      </c>
      <c r="B1" s="1" t="inlineStr">
        <is>
          <t>Date</t>
        </is>
      </c>
      <c r="C1" s="1" t="inlineStr">
        <is>
          <t>Style No.</t>
        </is>
      </c>
      <c r="D1" s="1" t="inlineStr">
        <is>
          <t>Quantity</t>
        </is>
      </c>
      <c r="E1" s="1" t="inlineStr">
        <is>
          <t>Refund Amount ($)</t>
        </is>
      </c>
      <c r="F1" s="1" t="inlineStr">
        <is>
          <t>Reverse Fee ($)</t>
        </is>
      </c>
      <c r="G1" s="1" t="inlineStr">
        <is>
          <t>Primary Reason</t>
        </is>
      </c>
      <c r="H1" s="1" t="inlineStr">
        <is>
          <t>Secondary Reason</t>
        </is>
      </c>
      <c r="I1" s="1" t="inlineStr">
        <is>
          <t>Status</t>
        </is>
      </c>
      <c r="J1" s="1" t="inlineStr">
        <is>
          <t>Received Date</t>
        </is>
      </c>
      <c r="K1" s="1" t="inlineStr">
        <is>
          <t>Restocked Date</t>
        </is>
      </c>
      <c r="L1" s="1" t="inlineStr">
        <is>
          <t>Reverse AWB</t>
        </is>
      </c>
      <c r="M1" s="1" t="inlineStr">
        <is>
          <t>Notes</t>
        </is>
      </c>
    </row>
    <row r="2">
      <c r="A2" s="2" t="inlineStr">
        <is>
          <t>CR-006</t>
        </is>
      </c>
      <c r="B2" s="2" t="inlineStr">
        <is>
          <t>2026-08-30</t>
        </is>
      </c>
      <c r="C2" s="2" t="inlineStr">
        <is>
          <t>DE26003B</t>
        </is>
      </c>
      <c r="D2" s="3" t="n">
        <v>1</v>
      </c>
      <c r="E2" s="4" t="n">
        <v>336.34</v>
      </c>
      <c r="F2" s="4" t="n">
        <v>175</v>
      </c>
      <c r="G2" s="2" t="inlineStr">
        <is>
          <t>Don't need the product anymore</t>
        </is>
      </c>
      <c r="H2" s="2" t="inlineStr">
        <is>
          <t>Did not like the product</t>
        </is>
      </c>
      <c r="I2" s="2" t="inlineStr">
        <is>
          <t>Intake</t>
        </is>
      </c>
      <c r="J2" s="2" t="inlineStr">
        <is>
          <t>2026-09-04</t>
        </is>
      </c>
      <c r="K2" s="2" t="inlineStr"/>
      <c r="L2" s="2" t="inlineStr">
        <is>
          <t>Shadowfax  AWB-R2456842272FPL</t>
        </is>
      </c>
      <c r="M2" s="2" t="inlineStr"/>
    </row>
    <row r="3">
      <c r="A3" s="2" t="inlineStr">
        <is>
          <t>CR-005</t>
        </is>
      </c>
      <c r="B3" s="2" t="inlineStr">
        <is>
          <t>2026-08-31</t>
        </is>
      </c>
      <c r="C3" s="2" t="inlineStr">
        <is>
          <t>DE26003W</t>
        </is>
      </c>
      <c r="D3" s="3" t="n">
        <v>1</v>
      </c>
      <c r="E3" s="4" t="n">
        <v>335.92</v>
      </c>
      <c r="F3" s="4" t="n">
        <v>175</v>
      </c>
      <c r="G3" s="2" t="inlineStr">
        <is>
          <t>Have size / fit related issues</t>
        </is>
      </c>
      <c r="H3" s="2" t="inlineStr">
        <is>
          <t>Did not like the fit</t>
        </is>
      </c>
      <c r="I3" s="2" t="inlineStr">
        <is>
          <t>Intake</t>
        </is>
      </c>
      <c r="J3" s="2" t="inlineStr">
        <is>
          <t>2026-09-07</t>
        </is>
      </c>
      <c r="K3" s="2" t="inlineStr"/>
      <c r="L3" s="2" t="inlineStr">
        <is>
          <t>Delhivery AWB-1490711614301402</t>
        </is>
      </c>
      <c r="M3" s="2" t="inlineStr"/>
    </row>
    <row r="4">
      <c r="A4" s="2" t="inlineStr">
        <is>
          <t>CR-007</t>
        </is>
      </c>
      <c r="B4" s="2" t="inlineStr">
        <is>
          <t>2026-08-31</t>
        </is>
      </c>
      <c r="C4" s="2" t="inlineStr">
        <is>
          <t>DE26030B</t>
        </is>
      </c>
      <c r="D4" s="3" t="n">
        <v>1</v>
      </c>
      <c r="E4" s="4" t="n">
        <v>280.9</v>
      </c>
      <c r="F4" s="4" t="n">
        <v>175</v>
      </c>
      <c r="G4" s="2" t="inlineStr">
        <is>
          <t>Have other quality related issues</t>
        </is>
      </c>
      <c r="H4" s="2" t="inlineStr">
        <is>
          <t>Product's quality or performance is not good</t>
        </is>
      </c>
      <c r="I4" s="2" t="inlineStr">
        <is>
          <t>Intake</t>
        </is>
      </c>
      <c r="J4" s="2" t="inlineStr">
        <is>
          <t>2026-09-04</t>
        </is>
      </c>
      <c r="K4" s="2" t="inlineStr"/>
      <c r="L4" s="2" t="inlineStr">
        <is>
          <t>Delhivery AWB-1490711700640883</t>
        </is>
      </c>
      <c r="M4" s="2" t="inlineStr"/>
    </row>
    <row r="5">
      <c r="A5" s="2" t="inlineStr">
        <is>
          <t>CR-008</t>
        </is>
      </c>
      <c r="B5" s="2" t="inlineStr">
        <is>
          <t>2026-09-04</t>
        </is>
      </c>
      <c r="C5" s="2" t="inlineStr">
        <is>
          <t>DE26005M</t>
        </is>
      </c>
      <c r="D5" s="3" t="n">
        <v>1</v>
      </c>
      <c r="E5" s="4" t="n">
        <v>307.33</v>
      </c>
      <c r="F5" s="4" t="n">
        <v>175</v>
      </c>
      <c r="G5" s="2" t="inlineStr">
        <is>
          <t>Have size / fit related issues</t>
        </is>
      </c>
      <c r="H5" s="2" t="inlineStr">
        <is>
          <t>Size correct but too loose</t>
        </is>
      </c>
      <c r="I5" s="2" t="inlineStr">
        <is>
          <t>Intake</t>
        </is>
      </c>
      <c r="J5" s="2" t="inlineStr">
        <is>
          <t>2026-09-14</t>
        </is>
      </c>
      <c r="K5" s="2" t="inlineStr"/>
      <c r="L5" s="2" t="inlineStr">
        <is>
          <t>Shadowfax  AWB-R2470043807FPL</t>
        </is>
      </c>
      <c r="M5" s="2" t="inlineStr"/>
    </row>
    <row r="6">
      <c r="A6" s="2" t="inlineStr">
        <is>
          <t>CR-010</t>
        </is>
      </c>
      <c r="B6" s="2" t="inlineStr">
        <is>
          <t>2026-09-07</t>
        </is>
      </c>
      <c r="C6" s="2" t="inlineStr">
        <is>
          <t>DE26003W</t>
        </is>
      </c>
      <c r="D6" s="3" t="n">
        <v>1</v>
      </c>
      <c r="E6" s="4" t="n">
        <v>295.65</v>
      </c>
      <c r="F6" s="4" t="n">
        <v>175</v>
      </c>
      <c r="G6" s="2" t="inlineStr">
        <is>
          <t>Have size / fit related issues</t>
        </is>
      </c>
      <c r="H6" s="2" t="inlineStr">
        <is>
          <t>Did not like the fit</t>
        </is>
      </c>
      <c r="I6" s="2" t="inlineStr">
        <is>
          <t>Received</t>
        </is>
      </c>
      <c r="J6" s="2" t="inlineStr">
        <is>
          <t>2026-09-17</t>
        </is>
      </c>
      <c r="K6" s="2" t="inlineStr"/>
      <c r="L6" s="2" t="inlineStr">
        <is>
          <t>Shadowfax  AWB-R2481671535FPL</t>
        </is>
      </c>
      <c r="M6" s="2" t="inlineStr"/>
    </row>
    <row r="7">
      <c r="A7" s="2" t="inlineStr">
        <is>
          <t>CR-006</t>
        </is>
      </c>
      <c r="B7" s="2" t="inlineStr">
        <is>
          <t>2026-09-20</t>
        </is>
      </c>
      <c r="C7" s="2" t="inlineStr">
        <is>
          <t>DE26006R</t>
        </is>
      </c>
      <c r="D7" s="3" t="n">
        <v>1</v>
      </c>
      <c r="E7" s="4" t="n">
        <v>309.82</v>
      </c>
      <c r="F7" s="4" t="n">
        <v>175</v>
      </c>
      <c r="G7" s="2" t="inlineStr">
        <is>
          <t>Have other quality related issues</t>
        </is>
      </c>
      <c r="H7" s="2" t="inlineStr">
        <is>
          <t>Product's quality or performance is not good</t>
        </is>
      </c>
      <c r="I7" s="2" t="inlineStr">
        <is>
          <t>Received</t>
        </is>
      </c>
      <c r="J7" s="2" t="inlineStr">
        <is>
          <t>2026-09-27</t>
        </is>
      </c>
      <c r="K7" s="2" t="inlineStr"/>
      <c r="L7" s="2" t="inlineStr">
        <is>
          <t>Valmo AWB-VLR082916892869</t>
        </is>
      </c>
      <c r="M7" s="2" t="inlineStr"/>
    </row>
    <row r="8">
      <c r="A8" s="2" t="inlineStr">
        <is>
          <t>CR-007</t>
        </is>
      </c>
      <c r="B8" s="2" t="inlineStr">
        <is>
          <t>2026-09-21</t>
        </is>
      </c>
      <c r="C8" s="2" t="inlineStr">
        <is>
          <t>DE26002M</t>
        </is>
      </c>
      <c r="D8" s="3" t="n">
        <v>1</v>
      </c>
      <c r="E8" s="4" t="n">
        <v>366.57</v>
      </c>
      <c r="F8" s="4" t="n">
        <v>175</v>
      </c>
      <c r="G8" s="2" t="inlineStr">
        <is>
          <t>Don't need the product anymore</t>
        </is>
      </c>
      <c r="H8" s="2" t="inlineStr">
        <is>
          <t>Found lower price elsewhere</t>
        </is>
      </c>
      <c r="I8" s="2" t="inlineStr">
        <is>
          <t>Received</t>
        </is>
      </c>
      <c r="J8" s="2" t="inlineStr">
        <is>
          <t>2026-09-27</t>
        </is>
      </c>
      <c r="K8" s="2" t="inlineStr"/>
      <c r="L8" s="2" t="inlineStr">
        <is>
          <t>Valmo AWB-VLR082918756063</t>
        </is>
      </c>
      <c r="M8" s="2" t="inlineStr"/>
    </row>
    <row r="9">
      <c r="A9" s="2" t="inlineStr">
        <is>
          <t>CR-008</t>
        </is>
      </c>
      <c r="B9" s="2" t="inlineStr">
        <is>
          <t>2026-09-24</t>
        </is>
      </c>
      <c r="C9" s="2" t="inlineStr">
        <is>
          <t>DE26002N</t>
        </is>
      </c>
      <c r="D9" s="3" t="n">
        <v>1</v>
      </c>
      <c r="E9" s="4" t="n">
        <v>343.8</v>
      </c>
      <c r="F9" s="4" t="n">
        <v>175</v>
      </c>
      <c r="G9" s="2" t="inlineStr">
        <is>
          <t>Received wrong product (different color / size / product)</t>
        </is>
      </c>
      <c r="H9" s="2" t="inlineStr">
        <is>
          <t>Wrong size delivered</t>
        </is>
      </c>
      <c r="I9" s="2" t="inlineStr">
        <is>
          <t>In Transit</t>
        </is>
      </c>
      <c r="J9" s="2" t="inlineStr"/>
      <c r="K9" s="2" t="inlineStr"/>
      <c r="L9" s="2" t="inlineStr">
        <is>
          <t>Shadowfax AWB-R2567239146FPL</t>
        </is>
      </c>
      <c r="M9" s="2" t="inlineStr"/>
    </row>
    <row r="10">
      <c r="A10" s="6" t="inlineStr">
        <is>
          <t>Total Summary</t>
        </is>
      </c>
      <c r="B10" s="6" t="inlineStr"/>
      <c r="C10" s="6" t="inlineStr"/>
      <c r="D10" s="7">
        <f>SUM(D2:D9)</f>
        <v/>
      </c>
      <c r="E10" s="8">
        <f>SUM(E2:E9)</f>
        <v/>
      </c>
      <c r="F10" s="8">
        <f>SUM(F2:F9)</f>
        <v/>
      </c>
      <c r="G10" s="6" t="inlineStr"/>
      <c r="H10" s="6" t="inlineStr"/>
      <c r="I10" s="6" t="inlineStr"/>
      <c r="J10" s="6" t="inlineStr"/>
      <c r="K10" s="6" t="inlineStr"/>
      <c r="L10" s="6" t="inlineStr"/>
      <c r="M10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9" customWidth="1" min="3" max="3"/>
    <col width="25" customWidth="1" min="4" max="4"/>
    <col width="15" customWidth="1" min="5" max="5"/>
    <col width="22" customWidth="1" min="6" max="6"/>
    <col width="19" customWidth="1" min="7" max="7"/>
    <col width="23" customWidth="1" min="8" max="8"/>
    <col width="15" customWidth="1" min="9" max="9"/>
    <col width="15" customWidth="1" min="10" max="10"/>
    <col width="56" customWidth="1" min="11" max="11"/>
    <col width="35" customWidth="1" min="12" max="12"/>
    <col width="17" customWidth="1" min="13" max="13"/>
    <col width="19" customWidth="1" min="14" max="14"/>
    <col width="34" customWidth="1" min="15" max="15"/>
    <col width="17" customWidth="1" min="16" max="16"/>
    <col width="18" customWidth="1" min="17" max="17"/>
  </cols>
  <sheetData>
    <row r="1">
      <c r="A1" s="1" t="inlineStr">
        <is>
          <t>Exchange ID</t>
        </is>
      </c>
      <c r="B1" s="1" t="inlineStr">
        <is>
          <t>Date</t>
        </is>
      </c>
      <c r="C1" s="1" t="inlineStr">
        <is>
          <t>Original Style (Returned)</t>
        </is>
      </c>
      <c r="D1" s="1" t="inlineStr">
        <is>
          <t>Exchanged Style (New)</t>
        </is>
      </c>
      <c r="E1" s="1" t="inlineStr">
        <is>
          <t>Quantity</t>
        </is>
      </c>
      <c r="F1" s="1" t="inlineStr">
        <is>
          <t>Standard Price ($)</t>
        </is>
      </c>
      <c r="G1" s="1" t="inlineStr">
        <is>
          <t>Reverse Fee ($)</t>
        </is>
      </c>
      <c r="H1" s="1" t="inlineStr">
        <is>
          <t>Amount Received ($)</t>
        </is>
      </c>
      <c r="I1" s="1" t="inlineStr">
        <is>
          <t>COGS ($)</t>
        </is>
      </c>
      <c r="J1" s="1" t="inlineStr">
        <is>
          <t>Profit ($)</t>
        </is>
      </c>
      <c r="K1" s="1" t="inlineStr">
        <is>
          <t>Primary Reason</t>
        </is>
      </c>
      <c r="L1" s="1" t="inlineStr">
        <is>
          <t>Secondary Reason</t>
        </is>
      </c>
      <c r="M1" s="1" t="inlineStr">
        <is>
          <t>Return Status</t>
        </is>
      </c>
      <c r="N1" s="1" t="inlineStr">
        <is>
          <t>Exchange Status</t>
        </is>
      </c>
      <c r="O1" s="1" t="inlineStr">
        <is>
          <t>Reverse AWB</t>
        </is>
      </c>
      <c r="P1" s="1" t="inlineStr">
        <is>
          <t>Received Date</t>
        </is>
      </c>
      <c r="Q1" s="1" t="inlineStr">
        <is>
          <t>Restocked Date</t>
        </is>
      </c>
    </row>
    <row r="2">
      <c r="A2" s="2" t="inlineStr">
        <is>
          <t>EX-002</t>
        </is>
      </c>
      <c r="B2" s="2" t="inlineStr">
        <is>
          <t>2026-09-01</t>
        </is>
      </c>
      <c r="C2" s="2" t="inlineStr">
        <is>
          <t>DE26004R</t>
        </is>
      </c>
      <c r="D2" s="2" t="inlineStr">
        <is>
          <t>DE26004R</t>
        </is>
      </c>
      <c r="E2" s="3" t="n">
        <v>1</v>
      </c>
      <c r="F2" s="4" t="n">
        <v>299.68</v>
      </c>
      <c r="G2" s="4" t="n">
        <v>175</v>
      </c>
      <c r="H2" s="4">
        <f>(E2*F2)-G2</f>
        <v/>
      </c>
      <c r="I2" s="4" t="n">
        <v>219</v>
      </c>
      <c r="J2" s="4">
        <f>H2-I2</f>
        <v/>
      </c>
      <c r="K2" s="2" t="inlineStr">
        <is>
          <t>Received defective product (stains / damaged / torn)</t>
        </is>
      </c>
      <c r="L2" s="2" t="inlineStr">
        <is>
          <t>Product was dirty or had stains</t>
        </is>
      </c>
      <c r="M2" s="2" t="inlineStr">
        <is>
          <t>Intake</t>
        </is>
      </c>
      <c r="N2" s="2" t="inlineStr">
        <is>
          <t>Dispatched</t>
        </is>
      </c>
      <c r="O2" s="2" t="inlineStr">
        <is>
          <t>Delhivery AWB-1490711701466172</t>
        </is>
      </c>
      <c r="P2" s="2" t="inlineStr">
        <is>
          <t>2026-09-16</t>
        </is>
      </c>
      <c r="Q2" s="2" t="inlineStr"/>
    </row>
    <row r="3">
      <c r="A3" s="6" t="inlineStr">
        <is>
          <t>Total Summary</t>
        </is>
      </c>
      <c r="B3" s="6" t="inlineStr"/>
      <c r="C3" s="6" t="inlineStr"/>
      <c r="D3" s="6" t="inlineStr"/>
      <c r="E3" s="7">
        <f>SUM(E2:E2)</f>
        <v/>
      </c>
      <c r="F3" s="6" t="inlineStr"/>
      <c r="G3" s="8">
        <f>SUM(G2:G2)</f>
        <v/>
      </c>
      <c r="H3" s="8">
        <f>SUM(H2:H2)</f>
        <v/>
      </c>
      <c r="I3" s="8">
        <f>SUM(I2:I2)</f>
        <v/>
      </c>
      <c r="J3" s="8">
        <f>SUM(J2:J2)</f>
        <v/>
      </c>
      <c r="K3" s="6" t="inlineStr"/>
      <c r="L3" s="6" t="inlineStr"/>
      <c r="M3" s="6" t="inlineStr"/>
      <c r="N3" s="6" t="inlineStr"/>
      <c r="O3" s="6" t="inlineStr"/>
      <c r="P3" s="6" t="inlineStr"/>
      <c r="Q3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12" customWidth="1" min="4" max="4"/>
  </cols>
  <sheetData>
    <row r="1">
      <c r="A1" s="1" t="inlineStr">
        <is>
          <t>Date</t>
        </is>
      </c>
      <c r="B1" s="1" t="inlineStr">
        <is>
          <t>Platform</t>
        </is>
      </c>
      <c r="C1" s="1" t="inlineStr">
        <is>
          <t>Amount ($)</t>
        </is>
      </c>
      <c r="D1" s="1" t="inlineStr">
        <is>
          <t>Notes</t>
        </is>
      </c>
    </row>
    <row r="2">
      <c r="A2" s="2" t="inlineStr">
        <is>
          <t>2026-08-22</t>
        </is>
      </c>
      <c r="B2" s="2" t="inlineStr">
        <is>
          <t>Meesho Ads</t>
        </is>
      </c>
      <c r="C2" s="4" t="n">
        <v>0.08</v>
      </c>
      <c r="D2" s="2" t="inlineStr"/>
    </row>
    <row r="3">
      <c r="A3" s="2" t="inlineStr">
        <is>
          <t>2026-08-24</t>
        </is>
      </c>
      <c r="B3" s="2" t="inlineStr">
        <is>
          <t>Meesho Ads</t>
        </is>
      </c>
      <c r="C3" s="4" t="n">
        <v>16.01</v>
      </c>
      <c r="D3" s="2" t="inlineStr"/>
    </row>
    <row r="4">
      <c r="A4" s="2" t="inlineStr">
        <is>
          <t>2026-08-25</t>
        </is>
      </c>
      <c r="B4" s="2" t="inlineStr">
        <is>
          <t>Meesho Ads</t>
        </is>
      </c>
      <c r="C4" s="4" t="n">
        <v>250.38</v>
      </c>
      <c r="D4" s="2" t="inlineStr"/>
    </row>
    <row r="5">
      <c r="A5" s="2" t="inlineStr">
        <is>
          <t>2026-08-26</t>
        </is>
      </c>
      <c r="B5" s="2" t="inlineStr">
        <is>
          <t>Meesho Ads</t>
        </is>
      </c>
      <c r="C5" s="4" t="n">
        <v>53.77</v>
      </c>
      <c r="D5" s="2" t="inlineStr"/>
    </row>
    <row r="6">
      <c r="A6" s="2" t="inlineStr">
        <is>
          <t>2026-08-26</t>
        </is>
      </c>
      <c r="B6" s="2" t="inlineStr">
        <is>
          <t>Meesho Ads</t>
        </is>
      </c>
      <c r="C6" s="4" t="n">
        <v>30.13</v>
      </c>
      <c r="D6" s="2" t="inlineStr"/>
    </row>
    <row r="7">
      <c r="A7" s="2" t="inlineStr">
        <is>
          <t>2026-08-27</t>
        </is>
      </c>
      <c r="B7" s="2" t="inlineStr">
        <is>
          <t>Meesho Ads</t>
        </is>
      </c>
      <c r="C7" s="4" t="n">
        <v>451.93</v>
      </c>
      <c r="D7" s="2" t="inlineStr"/>
    </row>
    <row r="8">
      <c r="A8" s="2" t="inlineStr">
        <is>
          <t>2026-08-27</t>
        </is>
      </c>
      <c r="B8" s="2" t="inlineStr">
        <is>
          <t>Meesho Ads</t>
        </is>
      </c>
      <c r="C8" s="4" t="n">
        <v>49.28</v>
      </c>
      <c r="D8" s="2" t="inlineStr"/>
    </row>
    <row r="9">
      <c r="A9" s="2" t="inlineStr">
        <is>
          <t>2026-08-28</t>
        </is>
      </c>
      <c r="B9" s="2" t="inlineStr">
        <is>
          <t>Meesho Ads</t>
        </is>
      </c>
      <c r="C9" s="4" t="n">
        <v>4.31</v>
      </c>
      <c r="D9" s="2" t="inlineStr"/>
    </row>
    <row r="10">
      <c r="A10" s="2" t="inlineStr">
        <is>
          <t>2026-08-28</t>
        </is>
      </c>
      <c r="B10" s="2" t="inlineStr">
        <is>
          <t>Meesho Ads</t>
        </is>
      </c>
      <c r="C10" s="4" t="n">
        <v>0.14</v>
      </c>
      <c r="D10" s="2" t="inlineStr"/>
    </row>
    <row r="11">
      <c r="A11" s="2" t="inlineStr">
        <is>
          <t>2026-08-28</t>
        </is>
      </c>
      <c r="B11" s="2" t="inlineStr">
        <is>
          <t>Meesho Ads</t>
        </is>
      </c>
      <c r="C11" s="4" t="n">
        <v>202.88</v>
      </c>
      <c r="D11" s="2" t="inlineStr"/>
    </row>
    <row r="12">
      <c r="A12" s="2" t="inlineStr">
        <is>
          <t>2026-08-29</t>
        </is>
      </c>
      <c r="B12" s="2" t="inlineStr">
        <is>
          <t>Meesho Ads</t>
        </is>
      </c>
      <c r="C12" s="4" t="n">
        <v>0.44</v>
      </c>
      <c r="D12" s="2" t="inlineStr"/>
    </row>
    <row r="13">
      <c r="A13" s="2" t="inlineStr">
        <is>
          <t>2026-08-29</t>
        </is>
      </c>
      <c r="B13" s="2" t="inlineStr">
        <is>
          <t>Meesho Ads</t>
        </is>
      </c>
      <c r="C13" s="4" t="n">
        <v>256.51</v>
      </c>
      <c r="D13" s="2" t="inlineStr"/>
    </row>
    <row r="14">
      <c r="A14" s="2" t="inlineStr">
        <is>
          <t>2026-08-30</t>
        </is>
      </c>
      <c r="B14" s="2" t="inlineStr">
        <is>
          <t>Meesho Ads</t>
        </is>
      </c>
      <c r="C14" s="4" t="n">
        <v>270.87</v>
      </c>
      <c r="D14" s="2" t="inlineStr"/>
    </row>
    <row r="15">
      <c r="A15" s="2" t="inlineStr">
        <is>
          <t>2026-08-31</t>
        </is>
      </c>
      <c r="B15" s="2" t="inlineStr">
        <is>
          <t>Meesho Ads</t>
        </is>
      </c>
      <c r="C15" s="4" t="n">
        <v>118.31</v>
      </c>
      <c r="D15" s="2" t="inlineStr"/>
    </row>
    <row r="16">
      <c r="A16" s="2" t="inlineStr">
        <is>
          <t>2026-09-01</t>
        </is>
      </c>
      <c r="B16" s="2" t="inlineStr">
        <is>
          <t>Meesho Ads</t>
        </is>
      </c>
      <c r="C16" s="4" t="n">
        <v>212</v>
      </c>
      <c r="D16" s="2" t="inlineStr"/>
    </row>
    <row r="17">
      <c r="A17" s="2" t="inlineStr">
        <is>
          <t>2026-09-02</t>
        </is>
      </c>
      <c r="B17" s="2" t="inlineStr">
        <is>
          <t>Meesho Ads</t>
        </is>
      </c>
      <c r="C17" s="4" t="n">
        <v>136.16</v>
      </c>
      <c r="D17" s="2" t="inlineStr"/>
    </row>
    <row r="18">
      <c r="A18" s="2" t="inlineStr">
        <is>
          <t>2026-09-03</t>
        </is>
      </c>
      <c r="B18" s="2" t="inlineStr">
        <is>
          <t>Meesho Ads</t>
        </is>
      </c>
      <c r="C18" s="4" t="n">
        <v>0.24</v>
      </c>
      <c r="D18" s="2" t="inlineStr"/>
    </row>
    <row r="19">
      <c r="A19" s="2" t="inlineStr">
        <is>
          <t>2026-09-03</t>
        </is>
      </c>
      <c r="B19" s="2" t="inlineStr">
        <is>
          <t>Meesho Ads</t>
        </is>
      </c>
      <c r="C19" s="4" t="n">
        <v>250.14</v>
      </c>
      <c r="D19" s="2" t="inlineStr"/>
    </row>
    <row r="20">
      <c r="A20" s="2" t="inlineStr">
        <is>
          <t>2026-09-04</t>
        </is>
      </c>
      <c r="B20" s="2" t="inlineStr">
        <is>
          <t>Meesho Ads</t>
        </is>
      </c>
      <c r="C20" s="4" t="n">
        <v>394.47</v>
      </c>
      <c r="D20" s="2" t="inlineStr"/>
    </row>
    <row r="21">
      <c r="A21" s="2" t="inlineStr">
        <is>
          <t>2026-09-05</t>
        </is>
      </c>
      <c r="B21" s="2" t="inlineStr">
        <is>
          <t>Meesho Ads</t>
        </is>
      </c>
      <c r="C21" s="4" t="n">
        <v>306.17</v>
      </c>
      <c r="D21" s="2" t="inlineStr"/>
    </row>
    <row r="22">
      <c r="A22" s="2" t="inlineStr">
        <is>
          <t>2026-09-06</t>
        </is>
      </c>
      <c r="B22" s="2" t="inlineStr">
        <is>
          <t>Meesho Ads</t>
        </is>
      </c>
      <c r="C22" s="4" t="n">
        <v>401.28</v>
      </c>
      <c r="D22" s="2" t="inlineStr"/>
    </row>
    <row r="23">
      <c r="A23" s="2" t="inlineStr">
        <is>
          <t>2026-09-07</t>
        </is>
      </c>
      <c r="B23" s="2" t="inlineStr">
        <is>
          <t>Meesho Ads</t>
        </is>
      </c>
      <c r="C23" s="4" t="n">
        <v>98.87</v>
      </c>
      <c r="D23" s="2" t="inlineStr"/>
    </row>
    <row r="24">
      <c r="A24" s="2" t="inlineStr">
        <is>
          <t>2026-09-08</t>
        </is>
      </c>
      <c r="B24" s="2" t="inlineStr">
        <is>
          <t>Meesho Ads</t>
        </is>
      </c>
      <c r="C24" s="4" t="n">
        <v>77.75</v>
      </c>
      <c r="D24" s="2" t="inlineStr"/>
    </row>
    <row r="25">
      <c r="A25" s="2" t="inlineStr">
        <is>
          <t>2026-09-09</t>
        </is>
      </c>
      <c r="B25" s="2" t="inlineStr">
        <is>
          <t>Meesho Ads</t>
        </is>
      </c>
      <c r="C25" s="4" t="n">
        <v>100.31</v>
      </c>
      <c r="D25" s="2" t="inlineStr"/>
    </row>
    <row r="26">
      <c r="A26" s="2" t="inlineStr">
        <is>
          <t>2026-09-12</t>
        </is>
      </c>
      <c r="B26" s="2" t="inlineStr">
        <is>
          <t>Meesho Ads</t>
        </is>
      </c>
      <c r="C26" s="4" t="n">
        <v>351.3</v>
      </c>
      <c r="D26" s="2" t="inlineStr"/>
    </row>
    <row r="27">
      <c r="A27" s="2" t="inlineStr">
        <is>
          <t>2026-09-13</t>
        </is>
      </c>
      <c r="B27" s="2" t="inlineStr">
        <is>
          <t>Meesho Ads</t>
        </is>
      </c>
      <c r="C27" s="4" t="n">
        <v>317.17</v>
      </c>
      <c r="D27" s="2" t="inlineStr"/>
    </row>
    <row r="28">
      <c r="A28" s="2" t="inlineStr">
        <is>
          <t>2026-09-14</t>
        </is>
      </c>
      <c r="B28" s="2" t="inlineStr">
        <is>
          <t>Meesho Ads</t>
        </is>
      </c>
      <c r="C28" s="4" t="n">
        <v>243.97</v>
      </c>
      <c r="D28" s="2" t="inlineStr"/>
    </row>
    <row r="29">
      <c r="A29" s="2" t="inlineStr">
        <is>
          <t>2026-09-15</t>
        </is>
      </c>
      <c r="B29" s="2" t="inlineStr">
        <is>
          <t>Meesho Ads</t>
        </is>
      </c>
      <c r="C29" s="4" t="n">
        <v>262.41</v>
      </c>
      <c r="D29" s="2" t="inlineStr"/>
    </row>
    <row r="30">
      <c r="A30" s="2" t="inlineStr">
        <is>
          <t>2026-09-16</t>
        </is>
      </c>
      <c r="B30" s="2" t="inlineStr">
        <is>
          <t>Meesho Ads</t>
        </is>
      </c>
      <c r="C30" s="4" t="n">
        <v>332.49</v>
      </c>
      <c r="D30" s="2" t="inlineStr"/>
    </row>
    <row r="31">
      <c r="A31" s="2" t="inlineStr">
        <is>
          <t>2026-09-17</t>
        </is>
      </c>
      <c r="B31" s="2" t="inlineStr">
        <is>
          <t>Meesho Ads</t>
        </is>
      </c>
      <c r="C31" s="4" t="n">
        <v>316.36</v>
      </c>
      <c r="D31" s="2" t="inlineStr"/>
    </row>
    <row r="32">
      <c r="A32" s="2" t="inlineStr">
        <is>
          <t>2026-09-18</t>
        </is>
      </c>
      <c r="B32" s="2" t="inlineStr">
        <is>
          <t>Meesho Ads</t>
        </is>
      </c>
      <c r="C32" s="4" t="n">
        <v>301.32</v>
      </c>
      <c r="D32" s="2" t="inlineStr"/>
    </row>
    <row r="33">
      <c r="A33" s="2" t="inlineStr">
        <is>
          <t>2026-09-19</t>
        </is>
      </c>
      <c r="B33" s="2" t="inlineStr">
        <is>
          <t>Meesho Ads</t>
        </is>
      </c>
      <c r="C33" s="4" t="n">
        <v>0.12</v>
      </c>
      <c r="D33" s="2" t="inlineStr"/>
    </row>
    <row r="34">
      <c r="A34" s="6" t="inlineStr">
        <is>
          <t>Total Summary</t>
        </is>
      </c>
      <c r="B34" s="6" t="inlineStr"/>
      <c r="C34" s="8">
        <f>SUM(C2:C33)</f>
        <v/>
      </c>
      <c r="D34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16" customWidth="1" min="4" max="4"/>
    <col width="23" customWidth="1" min="5" max="5"/>
  </cols>
  <sheetData>
    <row r="1">
      <c r="A1" s="1" t="inlineStr">
        <is>
          <t>Sl No.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Amount ($)</t>
        </is>
      </c>
      <c r="E1" s="1" t="inlineStr">
        <is>
          <t>Running Balance ($)</t>
        </is>
      </c>
    </row>
    <row r="2">
      <c r="A2" s="2" t="n">
        <v>1</v>
      </c>
      <c r="B2" s="2" t="inlineStr">
        <is>
          <t>2026-07-22</t>
        </is>
      </c>
      <c r="C2" s="2" t="inlineStr">
        <is>
          <t>Debited</t>
        </is>
      </c>
      <c r="D2" s="4" t="n">
        <v>20000</v>
      </c>
      <c r="E2" s="4" t="n">
        <v>-20000</v>
      </c>
    </row>
    <row r="3">
      <c r="A3" s="2" t="n">
        <v>2</v>
      </c>
      <c r="B3" s="2" t="inlineStr">
        <is>
          <t>2026-08-06</t>
        </is>
      </c>
      <c r="C3" s="2" t="inlineStr">
        <is>
          <t>Debited</t>
        </is>
      </c>
      <c r="D3" s="4" t="n">
        <v>10000</v>
      </c>
      <c r="E3" s="4" t="n">
        <v>-30000</v>
      </c>
    </row>
    <row r="4">
      <c r="A4" s="2" t="n">
        <v>3</v>
      </c>
      <c r="B4" s="2" t="inlineStr">
        <is>
          <t>2026-08-06</t>
        </is>
      </c>
      <c r="C4" s="2" t="inlineStr">
        <is>
          <t>Debited</t>
        </is>
      </c>
      <c r="D4" s="4" t="n">
        <v>47565</v>
      </c>
      <c r="E4" s="4" t="n">
        <v>-77565</v>
      </c>
    </row>
    <row r="5">
      <c r="A5" s="2" t="n">
        <v>4</v>
      </c>
      <c r="B5" s="2" t="inlineStr">
        <is>
          <t>2026-08-07</t>
        </is>
      </c>
      <c r="C5" s="2" t="inlineStr">
        <is>
          <t>Debited</t>
        </is>
      </c>
      <c r="D5" s="4" t="n">
        <v>43000</v>
      </c>
      <c r="E5" s="4" t="n">
        <v>-120565</v>
      </c>
    </row>
    <row r="6">
      <c r="A6" s="2" t="n">
        <v>5</v>
      </c>
      <c r="B6" s="2" t="inlineStr">
        <is>
          <t>2026-09-09</t>
        </is>
      </c>
      <c r="C6" s="2" t="inlineStr">
        <is>
          <t>Credited</t>
        </is>
      </c>
      <c r="D6" s="4" t="n">
        <v>960.84</v>
      </c>
      <c r="E6" s="4" t="n">
        <v>-119604.16</v>
      </c>
    </row>
    <row r="7">
      <c r="A7" s="2" t="n">
        <v>6</v>
      </c>
      <c r="B7" s="2" t="inlineStr">
        <is>
          <t>2026-09-10</t>
        </is>
      </c>
      <c r="C7" s="2" t="inlineStr">
        <is>
          <t>Credited</t>
        </is>
      </c>
      <c r="D7" s="4" t="n">
        <v>1778.99</v>
      </c>
      <c r="E7" s="4" t="n">
        <v>-117825.17</v>
      </c>
    </row>
    <row r="8">
      <c r="A8" s="2" t="n">
        <v>7</v>
      </c>
      <c r="B8" s="2" t="inlineStr">
        <is>
          <t>2026-09-11</t>
        </is>
      </c>
      <c r="C8" s="2" t="inlineStr">
        <is>
          <t>Credited</t>
        </is>
      </c>
      <c r="D8" s="4" t="n">
        <v>30.29</v>
      </c>
      <c r="E8" s="4" t="n">
        <v>-117794.88</v>
      </c>
    </row>
    <row r="9">
      <c r="A9" s="2" t="n">
        <v>8</v>
      </c>
      <c r="B9" s="2" t="inlineStr">
        <is>
          <t>2026-09-14</t>
        </is>
      </c>
      <c r="C9" s="2" t="inlineStr">
        <is>
          <t>Credited</t>
        </is>
      </c>
      <c r="D9" s="4" t="n">
        <v>2298</v>
      </c>
      <c r="E9" s="4" t="n">
        <v>-115496.88</v>
      </c>
    </row>
    <row r="10">
      <c r="A10" s="2" t="n">
        <v>9</v>
      </c>
      <c r="B10" s="2" t="inlineStr">
        <is>
          <t>2026-09-15</t>
        </is>
      </c>
      <c r="C10" s="2" t="inlineStr">
        <is>
          <t>Credited</t>
        </is>
      </c>
      <c r="D10" s="4" t="n">
        <v>1492.01</v>
      </c>
      <c r="E10" s="4" t="n">
        <v>-114004.87</v>
      </c>
    </row>
    <row r="11">
      <c r="A11" s="2" t="n">
        <v>10</v>
      </c>
      <c r="B11" s="2" t="inlineStr">
        <is>
          <t>2026-09-16</t>
        </is>
      </c>
      <c r="C11" s="2" t="inlineStr">
        <is>
          <t>Credited</t>
        </is>
      </c>
      <c r="D11" s="4" t="n">
        <v>39.3</v>
      </c>
      <c r="E11" s="4" t="n">
        <v>-113965.57</v>
      </c>
    </row>
    <row r="12">
      <c r="A12" s="2" t="n">
        <v>11</v>
      </c>
      <c r="B12" s="2" t="inlineStr">
        <is>
          <t>2026-09-17</t>
        </is>
      </c>
      <c r="C12" s="2" t="inlineStr">
        <is>
          <t>Credited</t>
        </is>
      </c>
      <c r="D12" s="4" t="n">
        <v>1154.35</v>
      </c>
      <c r="E12" s="4" t="n">
        <v>-112811.22</v>
      </c>
    </row>
    <row r="13">
      <c r="A13" s="2" t="n">
        <v>12</v>
      </c>
      <c r="B13" s="2" t="inlineStr">
        <is>
          <t>2026-09-18</t>
        </is>
      </c>
      <c r="C13" s="2" t="inlineStr">
        <is>
          <t>Credited (+)</t>
        </is>
      </c>
      <c r="D13" s="4" t="n">
        <v>269.85</v>
      </c>
      <c r="E13" s="4" t="n">
        <v>-112541.37</v>
      </c>
    </row>
    <row r="14">
      <c r="A14" s="2" t="n">
        <v>13</v>
      </c>
      <c r="B14" s="2" t="inlineStr">
        <is>
          <t>2026-09-21</t>
        </is>
      </c>
      <c r="C14" s="2" t="inlineStr">
        <is>
          <t>Credited (+)</t>
        </is>
      </c>
      <c r="D14" s="4" t="n">
        <v>948.09</v>
      </c>
      <c r="E14" s="4" t="n">
        <v>-111593.28</v>
      </c>
    </row>
    <row r="15">
      <c r="A15" s="2" t="n">
        <v>14</v>
      </c>
      <c r="B15" s="2" t="inlineStr">
        <is>
          <t>2026-09-22</t>
        </is>
      </c>
      <c r="C15" s="2" t="inlineStr">
        <is>
          <t>Credited (+)</t>
        </is>
      </c>
      <c r="D15" s="4" t="n">
        <v>310.13</v>
      </c>
      <c r="E15" s="4" t="n">
        <v>-111283.15</v>
      </c>
    </row>
    <row r="16">
      <c r="A16" s="2" t="n">
        <v>15</v>
      </c>
      <c r="B16" s="2" t="inlineStr">
        <is>
          <t>2026-09-23</t>
        </is>
      </c>
      <c r="C16" s="2" t="inlineStr">
        <is>
          <t>Credited (+)</t>
        </is>
      </c>
      <c r="D16" s="4" t="n">
        <v>593.05</v>
      </c>
      <c r="E16" s="4" t="n">
        <v>-110690.1</v>
      </c>
    </row>
    <row r="17">
      <c r="A17" s="2" t="n">
        <v>16</v>
      </c>
      <c r="B17" s="2" t="inlineStr">
        <is>
          <t>2026-09-24</t>
        </is>
      </c>
      <c r="C17" s="2" t="inlineStr">
        <is>
          <t>Credited (+)</t>
        </is>
      </c>
      <c r="D17" s="4" t="n">
        <v>1056.85</v>
      </c>
      <c r="E17" s="4" t="n">
        <v>-109633.25</v>
      </c>
    </row>
    <row r="18">
      <c r="A18" s="2" t="n">
        <v>17</v>
      </c>
      <c r="B18" s="2" t="inlineStr">
        <is>
          <t>2026-09-28</t>
        </is>
      </c>
      <c r="C18" s="2" t="inlineStr">
        <is>
          <t>Credited (+)</t>
        </is>
      </c>
      <c r="D18" s="4" t="n">
        <v>3921.55</v>
      </c>
      <c r="E18" s="4" t="n">
        <v>-105711.7</v>
      </c>
    </row>
    <row r="19">
      <c r="A19" s="6" t="inlineStr">
        <is>
          <t>Total Summary</t>
        </is>
      </c>
      <c r="B19" s="6" t="inlineStr"/>
      <c r="C19" s="6" t="inlineStr"/>
      <c r="D19" s="8">
        <f>SUM(D2:D18)</f>
        <v/>
      </c>
      <c r="E19" s="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22" customWidth="1" min="4" max="4"/>
    <col width="18" customWidth="1" min="5" max="5"/>
    <col width="20" customWidth="1" min="6" max="6"/>
    <col width="26" customWidth="1" min="7" max="7"/>
  </cols>
  <sheetData>
    <row r="1">
      <c r="A1" s="1" t="inlineStr">
        <is>
          <t>Date</t>
        </is>
      </c>
      <c r="B1" s="1" t="inlineStr">
        <is>
          <t>Orders Count</t>
        </is>
      </c>
      <c r="C1" s="1" t="inlineStr">
        <is>
          <t>Units Sold</t>
        </is>
      </c>
      <c r="D1" s="1" t="inlineStr">
        <is>
          <t>Gross Revenue ($)</t>
        </is>
      </c>
      <c r="E1" s="1" t="inlineStr">
        <is>
          <t>Total COGS ($)</t>
        </is>
      </c>
      <c r="F1" s="1" t="inlineStr">
        <is>
          <t>Gross Profit ($)</t>
        </is>
      </c>
      <c r="G1" s="1" t="inlineStr">
        <is>
          <t>Gross Margin (%)</t>
        </is>
      </c>
    </row>
    <row r="2">
      <c r="A2" s="2" t="inlineStr">
        <is>
          <t>2026-08-21</t>
        </is>
      </c>
      <c r="B2" s="3" t="n">
        <v>1</v>
      </c>
      <c r="C2" s="3" t="n">
        <v>2</v>
      </c>
      <c r="D2" s="4" t="n">
        <v>671.7</v>
      </c>
      <c r="E2" s="4" t="n">
        <v>438</v>
      </c>
      <c r="F2" s="4">
        <f>D2-E2</f>
        <v/>
      </c>
      <c r="G2" s="5">
        <f>IF(D2&gt;0, F2/D2, 0)</f>
        <v/>
      </c>
    </row>
    <row r="3">
      <c r="A3" s="2" t="inlineStr">
        <is>
          <t>2026-08-24</t>
        </is>
      </c>
      <c r="B3" s="3" t="n">
        <v>6</v>
      </c>
      <c r="C3" s="3" t="n">
        <v>12</v>
      </c>
      <c r="D3" s="4" t="n">
        <v>3610.04</v>
      </c>
      <c r="E3" s="4" t="n">
        <v>2614</v>
      </c>
      <c r="F3" s="4">
        <f>D3-E3</f>
        <v/>
      </c>
      <c r="G3" s="5">
        <f>IF(D3&gt;0, F3/D3, 0)</f>
        <v/>
      </c>
    </row>
    <row r="4">
      <c r="A4" s="2" t="inlineStr">
        <is>
          <t>2026-08-25</t>
        </is>
      </c>
      <c r="B4" s="3" t="n">
        <v>1</v>
      </c>
      <c r="C4" s="3" t="n">
        <v>3</v>
      </c>
      <c r="D4" s="4" t="n">
        <v>896.37</v>
      </c>
      <c r="E4" s="4" t="n">
        <v>657</v>
      </c>
      <c r="F4" s="4">
        <f>D4-E4</f>
        <v/>
      </c>
      <c r="G4" s="5">
        <f>IF(D4&gt;0, F4/D4, 0)</f>
        <v/>
      </c>
    </row>
    <row r="5">
      <c r="A5" s="2" t="inlineStr">
        <is>
          <t>2026-08-26</t>
        </is>
      </c>
      <c r="B5" s="3" t="n">
        <v>1</v>
      </c>
      <c r="C5" s="3" t="n">
        <v>1</v>
      </c>
      <c r="D5" s="4" t="n">
        <v>315.37</v>
      </c>
      <c r="E5" s="4" t="n">
        <v>205</v>
      </c>
      <c r="F5" s="4">
        <f>D5-E5</f>
        <v/>
      </c>
      <c r="G5" s="5">
        <f>IF(D5&gt;0, F5/D5, 0)</f>
        <v/>
      </c>
    </row>
    <row r="6">
      <c r="A6" s="2" t="inlineStr">
        <is>
          <t>2026-08-27</t>
        </is>
      </c>
      <c r="B6" s="3" t="n">
        <v>4</v>
      </c>
      <c r="C6" s="3" t="n">
        <v>4</v>
      </c>
      <c r="D6" s="4" t="n">
        <v>1247.09</v>
      </c>
      <c r="E6" s="4" t="n">
        <v>876</v>
      </c>
      <c r="F6" s="4">
        <f>D6-E6</f>
        <v/>
      </c>
      <c r="G6" s="5">
        <f>IF(D6&gt;0, F6/D6, 0)</f>
        <v/>
      </c>
    </row>
    <row r="7">
      <c r="A7" s="2" t="inlineStr">
        <is>
          <t>2026-08-28</t>
        </is>
      </c>
      <c r="B7" s="3" t="n">
        <v>3</v>
      </c>
      <c r="C7" s="3" t="n">
        <v>5</v>
      </c>
      <c r="D7" s="4" t="n">
        <v>1556.83</v>
      </c>
      <c r="E7" s="4" t="n">
        <v>1081</v>
      </c>
      <c r="F7" s="4">
        <f>D7-E7</f>
        <v/>
      </c>
      <c r="G7" s="5">
        <f>IF(D7&gt;0, F7/D7, 0)</f>
        <v/>
      </c>
    </row>
    <row r="8">
      <c r="A8" s="2" t="inlineStr">
        <is>
          <t>2026-08-29</t>
        </is>
      </c>
      <c r="B8" s="3" t="n">
        <v>5</v>
      </c>
      <c r="C8" s="3" t="n">
        <v>7</v>
      </c>
      <c r="D8" s="4" t="n">
        <v>2113.86</v>
      </c>
      <c r="E8" s="4" t="n">
        <v>1521</v>
      </c>
      <c r="F8" s="4">
        <f>D8-E8</f>
        <v/>
      </c>
      <c r="G8" s="5">
        <f>IF(D8&gt;0, F8/D8, 0)</f>
        <v/>
      </c>
    </row>
    <row r="9">
      <c r="A9" s="2" t="inlineStr">
        <is>
          <t>2026-08-30</t>
        </is>
      </c>
      <c r="B9" s="3" t="n">
        <v>3</v>
      </c>
      <c r="C9" s="3" t="n">
        <v>5</v>
      </c>
      <c r="D9" s="4" t="n">
        <v>1479.6</v>
      </c>
      <c r="E9" s="4" t="n">
        <v>1096</v>
      </c>
      <c r="F9" s="4">
        <f>D9-E9</f>
        <v/>
      </c>
      <c r="G9" s="5">
        <f>IF(D9&gt;0, F9/D9, 0)</f>
        <v/>
      </c>
    </row>
    <row r="10">
      <c r="A10" s="2" t="inlineStr">
        <is>
          <t>2026-08-31</t>
        </is>
      </c>
      <c r="B10" s="3" t="n">
        <v>3</v>
      </c>
      <c r="C10" s="3" t="n">
        <v>5</v>
      </c>
      <c r="D10" s="4" t="n">
        <v>1559.92</v>
      </c>
      <c r="E10" s="4" t="n">
        <v>1113</v>
      </c>
      <c r="F10" s="4">
        <f>D10-E10</f>
        <v/>
      </c>
      <c r="G10" s="5">
        <f>IF(D10&gt;0, F10/D10, 0)</f>
        <v/>
      </c>
    </row>
    <row r="11">
      <c r="A11" s="2" t="inlineStr">
        <is>
          <t>2026-09-01</t>
        </is>
      </c>
      <c r="B11" s="3" t="n">
        <v>2</v>
      </c>
      <c r="C11" s="3" t="n">
        <v>4</v>
      </c>
      <c r="D11" s="4" t="n">
        <v>1233.47</v>
      </c>
      <c r="E11" s="4" t="n">
        <v>848</v>
      </c>
      <c r="F11" s="4">
        <f>D11-E11</f>
        <v/>
      </c>
      <c r="G11" s="5">
        <f>IF(D11&gt;0, F11/D11, 0)</f>
        <v/>
      </c>
    </row>
    <row r="12">
      <c r="A12" s="2" t="inlineStr">
        <is>
          <t>2026-09-02</t>
        </is>
      </c>
      <c r="B12" s="3" t="n">
        <v>3</v>
      </c>
      <c r="C12" s="3" t="n">
        <v>3</v>
      </c>
      <c r="D12" s="4" t="n">
        <v>780.1700000000001</v>
      </c>
      <c r="E12" s="4" t="n">
        <v>658</v>
      </c>
      <c r="F12" s="4">
        <f>D12-E12</f>
        <v/>
      </c>
      <c r="G12" s="5">
        <f>IF(D12&gt;0, F12/D12, 0)</f>
        <v/>
      </c>
    </row>
    <row r="13">
      <c r="A13" s="2" t="inlineStr">
        <is>
          <t>2026-09-03</t>
        </is>
      </c>
      <c r="B13" s="3" t="n">
        <v>2</v>
      </c>
      <c r="C13" s="3" t="n">
        <v>2</v>
      </c>
      <c r="D13" s="4" t="n">
        <v>569.72</v>
      </c>
      <c r="E13" s="4" t="n">
        <v>454</v>
      </c>
      <c r="F13" s="4">
        <f>D13-E13</f>
        <v/>
      </c>
      <c r="G13" s="5">
        <f>IF(D13&gt;0, F13/D13, 0)</f>
        <v/>
      </c>
    </row>
    <row r="14">
      <c r="A14" s="2" t="inlineStr">
        <is>
          <t>2026-09-04</t>
        </is>
      </c>
      <c r="B14" s="3" t="n">
        <v>4</v>
      </c>
      <c r="C14" s="3" t="n">
        <v>4</v>
      </c>
      <c r="D14" s="4" t="n">
        <v>1126.33</v>
      </c>
      <c r="E14" s="4" t="n">
        <v>865</v>
      </c>
      <c r="F14" s="4">
        <f>D14-E14</f>
        <v/>
      </c>
      <c r="G14" s="5">
        <f>IF(D14&gt;0, F14/D14, 0)</f>
        <v/>
      </c>
    </row>
    <row r="15">
      <c r="A15" s="2" t="inlineStr">
        <is>
          <t>2026-09-06</t>
        </is>
      </c>
      <c r="B15" s="3" t="n">
        <v>5</v>
      </c>
      <c r="C15" s="3" t="n">
        <v>6</v>
      </c>
      <c r="D15" s="4" t="n">
        <v>1752.55</v>
      </c>
      <c r="E15" s="4" t="n">
        <v>1318</v>
      </c>
      <c r="F15" s="4">
        <f>D15-E15</f>
        <v/>
      </c>
      <c r="G15" s="5">
        <f>IF(D15&gt;0, F15/D15, 0)</f>
        <v/>
      </c>
    </row>
    <row r="16">
      <c r="A16" s="2" t="inlineStr">
        <is>
          <t>2026-09-07</t>
        </is>
      </c>
      <c r="B16" s="3" t="n">
        <v>1</v>
      </c>
      <c r="C16" s="3" t="n">
        <v>3</v>
      </c>
      <c r="D16" s="4" t="n">
        <v>851.46</v>
      </c>
      <c r="E16" s="4" t="n">
        <v>660</v>
      </c>
      <c r="F16" s="4">
        <f>D16-E16</f>
        <v/>
      </c>
      <c r="G16" s="5">
        <f>IF(D16&gt;0, F16/D16, 0)</f>
        <v/>
      </c>
    </row>
    <row r="17">
      <c r="A17" s="2" t="inlineStr">
        <is>
          <t>2026-09-09</t>
        </is>
      </c>
      <c r="B17" s="3" t="n">
        <v>4</v>
      </c>
      <c r="C17" s="3" t="n">
        <v>4</v>
      </c>
      <c r="D17" s="4" t="n">
        <v>1267.23</v>
      </c>
      <c r="E17" s="4" t="n">
        <v>909</v>
      </c>
      <c r="F17" s="4">
        <f>D17-E17</f>
        <v/>
      </c>
      <c r="G17" s="5">
        <f>IF(D17&gt;0, F17/D17, 0)</f>
        <v/>
      </c>
    </row>
    <row r="18">
      <c r="A18" s="2" t="inlineStr">
        <is>
          <t>2026-09-10</t>
        </is>
      </c>
      <c r="B18" s="3" t="n">
        <v>1</v>
      </c>
      <c r="C18" s="3" t="n">
        <v>1</v>
      </c>
      <c r="D18" s="4" t="n">
        <v>328.02</v>
      </c>
      <c r="E18" s="4" t="n">
        <v>225</v>
      </c>
      <c r="F18" s="4">
        <f>D18-E18</f>
        <v/>
      </c>
      <c r="G18" s="5">
        <f>IF(D18&gt;0, F18/D18, 0)</f>
        <v/>
      </c>
    </row>
    <row r="19">
      <c r="A19" s="2" t="inlineStr">
        <is>
          <t>2026-09-11</t>
        </is>
      </c>
      <c r="B19" s="3" t="n">
        <v>2</v>
      </c>
      <c r="C19" s="3" t="n">
        <v>4</v>
      </c>
      <c r="D19" s="4" t="n">
        <v>1231.59</v>
      </c>
      <c r="E19" s="4" t="n">
        <v>930</v>
      </c>
      <c r="F19" s="4">
        <f>D19-E19</f>
        <v/>
      </c>
      <c r="G19" s="5">
        <f>IF(D19&gt;0, F19/D19, 0)</f>
        <v/>
      </c>
    </row>
    <row r="20">
      <c r="A20" s="2" t="inlineStr">
        <is>
          <t>2026-09-12</t>
        </is>
      </c>
      <c r="B20" s="3" t="n">
        <v>2</v>
      </c>
      <c r="C20" s="3" t="n">
        <v>2</v>
      </c>
      <c r="D20" s="4" t="n">
        <v>600.86</v>
      </c>
      <c r="E20" s="4" t="n">
        <v>440</v>
      </c>
      <c r="F20" s="4">
        <f>D20-E20</f>
        <v/>
      </c>
      <c r="G20" s="5">
        <f>IF(D20&gt;0, F20/D20, 0)</f>
        <v/>
      </c>
    </row>
    <row r="21">
      <c r="A21" s="2" t="inlineStr">
        <is>
          <t>2026-09-13</t>
        </is>
      </c>
      <c r="B21" s="3" t="n">
        <v>2</v>
      </c>
      <c r="C21" s="3" t="n">
        <v>2</v>
      </c>
      <c r="D21" s="4" t="n">
        <v>639.8699999999999</v>
      </c>
      <c r="E21" s="4" t="n">
        <v>460</v>
      </c>
      <c r="F21" s="4">
        <f>D21-E21</f>
        <v/>
      </c>
      <c r="G21" s="5">
        <f>IF(D21&gt;0, F21/D21, 0)</f>
        <v/>
      </c>
    </row>
    <row r="22">
      <c r="A22" s="2" t="inlineStr">
        <is>
          <t>2026-09-14</t>
        </is>
      </c>
      <c r="B22" s="3" t="n">
        <v>2</v>
      </c>
      <c r="C22" s="3" t="n">
        <v>2</v>
      </c>
      <c r="D22" s="4" t="n">
        <v>624.85</v>
      </c>
      <c r="E22" s="4" t="n">
        <v>470</v>
      </c>
      <c r="F22" s="4">
        <f>D22-E22</f>
        <v/>
      </c>
      <c r="G22" s="5">
        <f>IF(D22&gt;0, F22/D22, 0)</f>
        <v/>
      </c>
    </row>
    <row r="23">
      <c r="A23" s="2" t="inlineStr">
        <is>
          <t>2026-09-15</t>
        </is>
      </c>
      <c r="B23" s="3" t="n">
        <v>4</v>
      </c>
      <c r="C23" s="3" t="n">
        <v>5</v>
      </c>
      <c r="D23" s="4" t="n">
        <v>1612.52</v>
      </c>
      <c r="E23" s="4" t="n">
        <v>1134</v>
      </c>
      <c r="F23" s="4">
        <f>D23-E23</f>
        <v/>
      </c>
      <c r="G23" s="5">
        <f>IF(D23&gt;0, F23/D23, 0)</f>
        <v/>
      </c>
    </row>
    <row r="24">
      <c r="A24" s="2" t="inlineStr">
        <is>
          <t>2026-09-16</t>
        </is>
      </c>
      <c r="B24" s="3" t="n">
        <v>5</v>
      </c>
      <c r="C24" s="3" t="n">
        <v>5</v>
      </c>
      <c r="D24" s="4" t="n">
        <v>1723.74</v>
      </c>
      <c r="E24" s="4" t="n">
        <v>1145</v>
      </c>
      <c r="F24" s="4">
        <f>D24-E24</f>
        <v/>
      </c>
      <c r="G24" s="5">
        <f>IF(D24&gt;0, F24/D24, 0)</f>
        <v/>
      </c>
    </row>
    <row r="25">
      <c r="A25" s="2" t="inlineStr">
        <is>
          <t>2026-09-17</t>
        </is>
      </c>
      <c r="B25" s="3" t="n">
        <v>3</v>
      </c>
      <c r="C25" s="3" t="n">
        <v>3</v>
      </c>
      <c r="D25" s="4" t="n">
        <v>1046.94</v>
      </c>
      <c r="E25" s="4" t="n">
        <v>705</v>
      </c>
      <c r="F25" s="4">
        <f>D25-E25</f>
        <v/>
      </c>
      <c r="G25" s="5">
        <f>IF(D25&gt;0, F25/D25, 0)</f>
        <v/>
      </c>
    </row>
    <row r="26">
      <c r="A26" s="2" t="inlineStr">
        <is>
          <t>2026-09-18</t>
        </is>
      </c>
      <c r="B26" s="3" t="n">
        <v>5</v>
      </c>
      <c r="C26" s="3" t="n">
        <v>5</v>
      </c>
      <c r="D26" s="4" t="n">
        <v>1611.09</v>
      </c>
      <c r="E26" s="4" t="n">
        <v>1150</v>
      </c>
      <c r="F26" s="4">
        <f>D26-E26</f>
        <v/>
      </c>
      <c r="G26" s="5">
        <f>IF(D26&gt;0, F26/D26, 0)</f>
        <v/>
      </c>
    </row>
    <row r="27">
      <c r="A27" s="2" t="inlineStr">
        <is>
          <t>2026-09-19</t>
        </is>
      </c>
      <c r="B27" s="3" t="n">
        <v>4</v>
      </c>
      <c r="C27" s="3" t="n">
        <v>6</v>
      </c>
      <c r="D27" s="4" t="n">
        <v>2051.4</v>
      </c>
      <c r="E27" s="4" t="n">
        <v>1368</v>
      </c>
      <c r="F27" s="4">
        <f>D27-E27</f>
        <v/>
      </c>
      <c r="G27" s="5">
        <f>IF(D27&gt;0, F27/D27, 0)</f>
        <v/>
      </c>
    </row>
    <row r="28">
      <c r="A28" s="2" t="inlineStr">
        <is>
          <t>2026-09-21</t>
        </is>
      </c>
      <c r="B28" s="3" t="n">
        <v>3</v>
      </c>
      <c r="C28" s="3" t="n">
        <v>3</v>
      </c>
      <c r="D28" s="4" t="n">
        <v>868.09</v>
      </c>
      <c r="E28" s="4" t="n">
        <v>665</v>
      </c>
      <c r="F28" s="4">
        <f>D28-E28</f>
        <v/>
      </c>
      <c r="G28" s="5">
        <f>IF(D28&gt;0, F28/D28, 0)</f>
        <v/>
      </c>
    </row>
    <row r="29">
      <c r="A29" s="2" t="inlineStr">
        <is>
          <t>2026-09-22</t>
        </is>
      </c>
      <c r="B29" s="3" t="n">
        <v>4</v>
      </c>
      <c r="C29" s="3" t="n">
        <v>4</v>
      </c>
      <c r="D29" s="4" t="n">
        <v>1247.61</v>
      </c>
      <c r="E29" s="4" t="n">
        <v>915</v>
      </c>
      <c r="F29" s="4">
        <f>D29-E29</f>
        <v/>
      </c>
      <c r="G29" s="5">
        <f>IF(D29&gt;0, F29/D29, 0)</f>
        <v/>
      </c>
    </row>
    <row r="30">
      <c r="A30" s="2" t="inlineStr">
        <is>
          <t>2026-09-23</t>
        </is>
      </c>
      <c r="B30" s="3" t="n">
        <v>2</v>
      </c>
      <c r="C30" s="3" t="n">
        <v>2</v>
      </c>
      <c r="D30" s="4" t="n">
        <v>622.8099999999999</v>
      </c>
      <c r="E30" s="4" t="n">
        <v>455</v>
      </c>
      <c r="F30" s="4">
        <f>D30-E30</f>
        <v/>
      </c>
      <c r="G30" s="5">
        <f>IF(D30&gt;0, F30/D30, 0)</f>
        <v/>
      </c>
    </row>
    <row r="31">
      <c r="A31" s="2" t="inlineStr">
        <is>
          <t>2026-09-24</t>
        </is>
      </c>
      <c r="B31" s="3" t="n">
        <v>3</v>
      </c>
      <c r="C31" s="3" t="n">
        <v>4</v>
      </c>
      <c r="D31" s="4" t="n">
        <v>1184.35</v>
      </c>
      <c r="E31" s="4" t="n">
        <v>895</v>
      </c>
      <c r="F31" s="4">
        <f>D31-E31</f>
        <v/>
      </c>
      <c r="G31" s="5">
        <f>IF(D31&gt;0, F31/D31, 0)</f>
        <v/>
      </c>
    </row>
    <row r="32">
      <c r="A32" s="2" t="inlineStr">
        <is>
          <t>2026-09-25</t>
        </is>
      </c>
      <c r="B32" s="3" t="n">
        <v>4</v>
      </c>
      <c r="C32" s="3" t="n">
        <v>4</v>
      </c>
      <c r="D32" s="4" t="n">
        <v>1268.75</v>
      </c>
      <c r="E32" s="4" t="n">
        <v>890</v>
      </c>
      <c r="F32" s="4">
        <f>D32-E32</f>
        <v/>
      </c>
      <c r="G32" s="5">
        <f>IF(D32&gt;0, F32/D32, 0)</f>
        <v/>
      </c>
    </row>
    <row r="33">
      <c r="A33" s="2" t="inlineStr">
        <is>
          <t>2026-09-26</t>
        </is>
      </c>
      <c r="B33" s="3" t="n">
        <v>1</v>
      </c>
      <c r="C33" s="3" t="n">
        <v>1</v>
      </c>
      <c r="D33" s="4" t="n">
        <v>298.04</v>
      </c>
      <c r="E33" s="4" t="n">
        <v>219</v>
      </c>
      <c r="F33" s="4">
        <f>D33-E33</f>
        <v/>
      </c>
      <c r="G33" s="5">
        <f>IF(D33&gt;0, F33/D33, 0)</f>
        <v/>
      </c>
    </row>
    <row r="34">
      <c r="A34" s="6" t="inlineStr">
        <is>
          <t>Total Summary</t>
        </is>
      </c>
      <c r="B34" s="7">
        <f>SUM(B2:B33)</f>
        <v/>
      </c>
      <c r="C34" s="7">
        <f>SUM(C2:C33)</f>
        <v/>
      </c>
      <c r="D34" s="8">
        <f>SUM(D2:D33)</f>
        <v/>
      </c>
      <c r="E34" s="8">
        <f>SUM(E2:E33)</f>
        <v/>
      </c>
      <c r="F34" s="8">
        <f>SUM(F2:F33)</f>
        <v/>
      </c>
      <c r="G34" s="9">
        <f>IF(D34&gt;0, F34/D34, 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2" customWidth="1" min="4" max="4"/>
  </cols>
  <sheetData>
    <row r="1">
      <c r="A1" s="1" t="inlineStr">
        <is>
          <t>Date</t>
        </is>
      </c>
      <c r="B1" s="1" t="inlineStr">
        <is>
          <t>Campaign Count</t>
        </is>
      </c>
      <c r="C1" s="1" t="inlineStr">
        <is>
          <t>Platforms Used</t>
        </is>
      </c>
      <c r="D1" s="1" t="inlineStr">
        <is>
          <t>Total Ad Spend ($)</t>
        </is>
      </c>
    </row>
    <row r="2">
      <c r="A2" s="2" t="inlineStr">
        <is>
          <t>2026-08-22</t>
        </is>
      </c>
      <c r="B2" s="3" t="n">
        <v>1</v>
      </c>
      <c r="C2" s="2" t="inlineStr">
        <is>
          <t>Meesho Ads</t>
        </is>
      </c>
      <c r="D2" s="4" t="n">
        <v>0.08</v>
      </c>
    </row>
    <row r="3">
      <c r="A3" s="2" t="inlineStr">
        <is>
          <t>2026-08-24</t>
        </is>
      </c>
      <c r="B3" s="3" t="n">
        <v>1</v>
      </c>
      <c r="C3" s="2" t="inlineStr">
        <is>
          <t>Meesho Ads</t>
        </is>
      </c>
      <c r="D3" s="4" t="n">
        <v>16.01</v>
      </c>
    </row>
    <row r="4">
      <c r="A4" s="2" t="inlineStr">
        <is>
          <t>2026-08-25</t>
        </is>
      </c>
      <c r="B4" s="3" t="n">
        <v>1</v>
      </c>
      <c r="C4" s="2" t="inlineStr">
        <is>
          <t>Meesho Ads</t>
        </is>
      </c>
      <c r="D4" s="4" t="n">
        <v>250.38</v>
      </c>
    </row>
    <row r="5">
      <c r="A5" s="2" t="inlineStr">
        <is>
          <t>2026-08-26</t>
        </is>
      </c>
      <c r="B5" s="3" t="n">
        <v>2</v>
      </c>
      <c r="C5" s="2" t="inlineStr">
        <is>
          <t>Meesho Ads</t>
        </is>
      </c>
      <c r="D5" s="4" t="n">
        <v>83.90000000000001</v>
      </c>
    </row>
    <row r="6">
      <c r="A6" s="2" t="inlineStr">
        <is>
          <t>2026-08-27</t>
        </is>
      </c>
      <c r="B6" s="3" t="n">
        <v>2</v>
      </c>
      <c r="C6" s="2" t="inlineStr">
        <is>
          <t>Meesho Ads</t>
        </is>
      </c>
      <c r="D6" s="4" t="n">
        <v>501.21</v>
      </c>
    </row>
    <row r="7">
      <c r="A7" s="2" t="inlineStr">
        <is>
          <t>2026-08-28</t>
        </is>
      </c>
      <c r="B7" s="3" t="n">
        <v>3</v>
      </c>
      <c r="C7" s="2" t="inlineStr">
        <is>
          <t>Meesho Ads</t>
        </is>
      </c>
      <c r="D7" s="4" t="n">
        <v>207.33</v>
      </c>
    </row>
    <row r="8">
      <c r="A8" s="2" t="inlineStr">
        <is>
          <t>2026-08-29</t>
        </is>
      </c>
      <c r="B8" s="3" t="n">
        <v>2</v>
      </c>
      <c r="C8" s="2" t="inlineStr">
        <is>
          <t>Meesho Ads</t>
        </is>
      </c>
      <c r="D8" s="4" t="n">
        <v>256.95</v>
      </c>
    </row>
    <row r="9">
      <c r="A9" s="2" t="inlineStr">
        <is>
          <t>2026-08-30</t>
        </is>
      </c>
      <c r="B9" s="3" t="n">
        <v>1</v>
      </c>
      <c r="C9" s="2" t="inlineStr">
        <is>
          <t>Meesho Ads</t>
        </is>
      </c>
      <c r="D9" s="4" t="n">
        <v>270.87</v>
      </c>
    </row>
    <row r="10">
      <c r="A10" s="2" t="inlineStr">
        <is>
          <t>2026-08-31</t>
        </is>
      </c>
      <c r="B10" s="3" t="n">
        <v>1</v>
      </c>
      <c r="C10" s="2" t="inlineStr">
        <is>
          <t>Meesho Ads</t>
        </is>
      </c>
      <c r="D10" s="4" t="n">
        <v>118.31</v>
      </c>
    </row>
    <row r="11">
      <c r="A11" s="2" t="inlineStr">
        <is>
          <t>2026-09-01</t>
        </is>
      </c>
      <c r="B11" s="3" t="n">
        <v>1</v>
      </c>
      <c r="C11" s="2" t="inlineStr">
        <is>
          <t>Meesho Ads</t>
        </is>
      </c>
      <c r="D11" s="4" t="n">
        <v>212</v>
      </c>
    </row>
    <row r="12">
      <c r="A12" s="2" t="inlineStr">
        <is>
          <t>2026-09-02</t>
        </is>
      </c>
      <c r="B12" s="3" t="n">
        <v>1</v>
      </c>
      <c r="C12" s="2" t="inlineStr">
        <is>
          <t>Meesho Ads</t>
        </is>
      </c>
      <c r="D12" s="4" t="n">
        <v>136.16</v>
      </c>
    </row>
    <row r="13">
      <c r="A13" s="2" t="inlineStr">
        <is>
          <t>2026-09-03</t>
        </is>
      </c>
      <c r="B13" s="3" t="n">
        <v>2</v>
      </c>
      <c r="C13" s="2" t="inlineStr">
        <is>
          <t>Meesho Ads</t>
        </is>
      </c>
      <c r="D13" s="4" t="n">
        <v>250.38</v>
      </c>
    </row>
    <row r="14">
      <c r="A14" s="2" t="inlineStr">
        <is>
          <t>2026-09-04</t>
        </is>
      </c>
      <c r="B14" s="3" t="n">
        <v>1</v>
      </c>
      <c r="C14" s="2" t="inlineStr">
        <is>
          <t>Meesho Ads</t>
        </is>
      </c>
      <c r="D14" s="4" t="n">
        <v>394.47</v>
      </c>
    </row>
    <row r="15">
      <c r="A15" s="2" t="inlineStr">
        <is>
          <t>2026-09-05</t>
        </is>
      </c>
      <c r="B15" s="3" t="n">
        <v>1</v>
      </c>
      <c r="C15" s="2" t="inlineStr">
        <is>
          <t>Meesho Ads</t>
        </is>
      </c>
      <c r="D15" s="4" t="n">
        <v>306.17</v>
      </c>
    </row>
    <row r="16">
      <c r="A16" s="2" t="inlineStr">
        <is>
          <t>2026-09-06</t>
        </is>
      </c>
      <c r="B16" s="3" t="n">
        <v>1</v>
      </c>
      <c r="C16" s="2" t="inlineStr">
        <is>
          <t>Meesho Ads</t>
        </is>
      </c>
      <c r="D16" s="4" t="n">
        <v>401.28</v>
      </c>
    </row>
    <row r="17">
      <c r="A17" s="2" t="inlineStr">
        <is>
          <t>2026-09-07</t>
        </is>
      </c>
      <c r="B17" s="3" t="n">
        <v>1</v>
      </c>
      <c r="C17" s="2" t="inlineStr">
        <is>
          <t>Meesho Ads</t>
        </is>
      </c>
      <c r="D17" s="4" t="n">
        <v>98.87</v>
      </c>
    </row>
    <row r="18">
      <c r="A18" s="2" t="inlineStr">
        <is>
          <t>2026-09-08</t>
        </is>
      </c>
      <c r="B18" s="3" t="n">
        <v>1</v>
      </c>
      <c r="C18" s="2" t="inlineStr">
        <is>
          <t>Meesho Ads</t>
        </is>
      </c>
      <c r="D18" s="4" t="n">
        <v>77.75</v>
      </c>
    </row>
    <row r="19">
      <c r="A19" s="2" t="inlineStr">
        <is>
          <t>2026-09-09</t>
        </is>
      </c>
      <c r="B19" s="3" t="n">
        <v>1</v>
      </c>
      <c r="C19" s="2" t="inlineStr">
        <is>
          <t>Meesho Ads</t>
        </is>
      </c>
      <c r="D19" s="4" t="n">
        <v>100.31</v>
      </c>
    </row>
    <row r="20">
      <c r="A20" s="2" t="inlineStr">
        <is>
          <t>2026-09-12</t>
        </is>
      </c>
      <c r="B20" s="3" t="n">
        <v>1</v>
      </c>
      <c r="C20" s="2" t="inlineStr">
        <is>
          <t>Meesho Ads</t>
        </is>
      </c>
      <c r="D20" s="4" t="n">
        <v>351.3</v>
      </c>
    </row>
    <row r="21">
      <c r="A21" s="2" t="inlineStr">
        <is>
          <t>2026-09-13</t>
        </is>
      </c>
      <c r="B21" s="3" t="n">
        <v>1</v>
      </c>
      <c r="C21" s="2" t="inlineStr">
        <is>
          <t>Meesho Ads</t>
        </is>
      </c>
      <c r="D21" s="4" t="n">
        <v>317.17</v>
      </c>
    </row>
    <row r="22">
      <c r="A22" s="2" t="inlineStr">
        <is>
          <t>2026-09-14</t>
        </is>
      </c>
      <c r="B22" s="3" t="n">
        <v>1</v>
      </c>
      <c r="C22" s="2" t="inlineStr">
        <is>
          <t>Meesho Ads</t>
        </is>
      </c>
      <c r="D22" s="4" t="n">
        <v>243.97</v>
      </c>
    </row>
    <row r="23">
      <c r="A23" s="2" t="inlineStr">
        <is>
          <t>2026-09-15</t>
        </is>
      </c>
      <c r="B23" s="3" t="n">
        <v>1</v>
      </c>
      <c r="C23" s="2" t="inlineStr">
        <is>
          <t>Meesho Ads</t>
        </is>
      </c>
      <c r="D23" s="4" t="n">
        <v>262.41</v>
      </c>
    </row>
    <row r="24">
      <c r="A24" s="2" t="inlineStr">
        <is>
          <t>2026-09-16</t>
        </is>
      </c>
      <c r="B24" s="3" t="n">
        <v>1</v>
      </c>
      <c r="C24" s="2" t="inlineStr">
        <is>
          <t>Meesho Ads</t>
        </is>
      </c>
      <c r="D24" s="4" t="n">
        <v>332.49</v>
      </c>
    </row>
    <row r="25">
      <c r="A25" s="2" t="inlineStr">
        <is>
          <t>2026-09-17</t>
        </is>
      </c>
      <c r="B25" s="3" t="n">
        <v>1</v>
      </c>
      <c r="C25" s="2" t="inlineStr">
        <is>
          <t>Meesho Ads</t>
        </is>
      </c>
      <c r="D25" s="4" t="n">
        <v>316.36</v>
      </c>
    </row>
    <row r="26">
      <c r="A26" s="2" t="inlineStr">
        <is>
          <t>2026-09-18</t>
        </is>
      </c>
      <c r="B26" s="3" t="n">
        <v>1</v>
      </c>
      <c r="C26" s="2" t="inlineStr">
        <is>
          <t>Meesho Ads</t>
        </is>
      </c>
      <c r="D26" s="4" t="n">
        <v>301.32</v>
      </c>
    </row>
    <row r="27">
      <c r="A27" s="2" t="inlineStr">
        <is>
          <t>2026-09-19</t>
        </is>
      </c>
      <c r="B27" s="3" t="n">
        <v>1</v>
      </c>
      <c r="C27" s="2" t="inlineStr">
        <is>
          <t>Meesho Ads</t>
        </is>
      </c>
      <c r="D27" s="4" t="n">
        <v>0.12</v>
      </c>
    </row>
    <row r="28">
      <c r="A28" s="6" t="inlineStr">
        <is>
          <t>Total Summary</t>
        </is>
      </c>
      <c r="B28" s="7">
        <f>SUM(B2:B27)</f>
        <v/>
      </c>
      <c r="C28" s="6" t="inlineStr"/>
      <c r="D28" s="8">
        <f>SUM(D2:D27)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2026-09-28T20:57:02Z</dcterms:created>
  <dcterms:modified xsi:type="dcterms:W3CDTF">2026-09-28T20:57:03Z</dcterms:modified>
</cp:coreProperties>
</file>